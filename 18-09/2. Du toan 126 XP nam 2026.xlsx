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DANG XU LY\Hop AI360\Gui To ngay 18092026\"/>
    </mc:Choice>
  </mc:AlternateContent>
  <xr:revisionPtr revIDLastSave="0" documentId="13_ncr:1_{6FB95169-AE6D-45F3-B6C0-A4FDB9E201FB}" xr6:coauthVersionLast="47" xr6:coauthVersionMax="47" xr10:uidLastSave="{00000000-0000-0000-0000-000000000000}"/>
  <bookViews>
    <workbookView xWindow="-120" yWindow="-120" windowWidth="38640" windowHeight="21120" xr2:uid="{98519B8E-BDE2-4727-8389-1E378BB8C307}"/>
  </bookViews>
  <sheets>
    <sheet name="PL3 - Giao XP 2026" sheetId="1" r:id="rId1"/>
  </sheets>
  <externalReferences>
    <externalReference r:id="rId2"/>
  </externalReferences>
  <definedNames>
    <definedName name="\" hidden="1">#REF!</definedName>
    <definedName name="___________________________________________________________________a1" hidden="1">{"'Sheet1'!$L$16"}</definedName>
    <definedName name="___________________________________________________________________PA3" hidden="1">{"'Sheet1'!$L$16"}</definedName>
    <definedName name="_________________________________________________________________a1" hidden="1">{"'Sheet1'!$L$16"}</definedName>
    <definedName name="_________________________________________________________________PA3" hidden="1">{"'Sheet1'!$L$16"}</definedName>
    <definedName name="_______________________________________________________________a1" hidden="1">{"'Sheet1'!$L$16"}</definedName>
    <definedName name="_______________________________________________________________DT12" hidden="1">{"'Sheet1'!$L$16"}</definedName>
    <definedName name="_______________________________________________________________PA3" hidden="1">{"'Sheet1'!$L$16"}</definedName>
    <definedName name="_____________________________________________________________a1" hidden="1">{"'Sheet1'!$L$16"}</definedName>
    <definedName name="_____________________________________________________________DT12" hidden="1">{"'Sheet1'!$L$16"}</definedName>
    <definedName name="_____________________________________________________________PA3" hidden="1">{"'Sheet1'!$L$16"}</definedName>
    <definedName name="____________________________________________________________DT12" hidden="1">{"'Sheet1'!$L$16"}</definedName>
    <definedName name="___________________________________________________________a1" hidden="1">{"'Sheet1'!$L$16"}</definedName>
    <definedName name="___________________________________________________________DT12" hidden="1">{"'Sheet1'!$L$16"}</definedName>
    <definedName name="___________________________________________________________PA3" hidden="1">{"'Sheet1'!$L$16"}</definedName>
    <definedName name="_________________________________________________________a1" hidden="1">{"'Sheet1'!$L$16"}</definedName>
    <definedName name="_________________________________________________________DT12" hidden="1">{"'Sheet1'!$L$16"}</definedName>
    <definedName name="_________________________________________________________PA3" hidden="1">{"'Sheet1'!$L$16"}</definedName>
    <definedName name="________________________________________________________a1" hidden="1">{"'Sheet1'!$L$16"}</definedName>
    <definedName name="________________________________________________________DT12" hidden="1">{"'Sheet1'!$L$16"}</definedName>
    <definedName name="________________________________________________________PA3" hidden="1">{"'Sheet1'!$L$16"}</definedName>
    <definedName name="_______________________________________________________DT12" hidden="1">{"'Sheet1'!$L$16"}</definedName>
    <definedName name="______________________________________________________a1" hidden="1">{"'Sheet1'!$L$16"}</definedName>
    <definedName name="______________________________________________________PA3" hidden="1">{"'Sheet1'!$L$16"}</definedName>
    <definedName name="_____________________________________________________a1" hidden="1">{"'Sheet1'!$L$16"}</definedName>
    <definedName name="_____________________________________________________DT12" hidden="1">{"'Sheet1'!$L$16"}</definedName>
    <definedName name="____________________________________________________a1" hidden="1">{"'Sheet1'!$L$16"}</definedName>
    <definedName name="____________________________________________________PA3" hidden="1">{"'Sheet1'!$L$16"}</definedName>
    <definedName name="___________________________________________________a1" hidden="1">{"'Sheet1'!$L$16"}</definedName>
    <definedName name="___________________________________________________DT12" hidden="1">{"'Sheet1'!$L$16"}</definedName>
    <definedName name="___________________________________________________PA3" hidden="1">{"'Sheet1'!$L$16"}</definedName>
    <definedName name="__________________________________________________a1" hidden="1">{"'Sheet1'!$L$16"}</definedName>
    <definedName name="__________________________________________________DT12" hidden="1">{"'Sheet1'!$L$16"}</definedName>
    <definedName name="__________________________________________________PA3" hidden="1">{"'Sheet1'!$L$16"}</definedName>
    <definedName name="_________________________________________________a1" hidden="1">{"'Sheet1'!$L$16"}</definedName>
    <definedName name="_________________________________________________DT12" hidden="1">{"'Sheet1'!$L$16"}</definedName>
    <definedName name="_________________________________________________PA3" hidden="1">{"'Sheet1'!$L$16"}</definedName>
    <definedName name="________________________________________________a1" hidden="1">{"'Sheet1'!$L$16"}</definedName>
    <definedName name="________________________________________________DT12" hidden="1">{"'Sheet1'!$L$16"}</definedName>
    <definedName name="________________________________________________PA3" hidden="1">{"'Sheet1'!$L$16"}</definedName>
    <definedName name="_______________________________________________a1" hidden="1">{"'Sheet1'!$L$16"}</definedName>
    <definedName name="_______________________________________________DT12" hidden="1">{"'Sheet1'!$L$16"}</definedName>
    <definedName name="_______________________________________________PA3" hidden="1">{"'Sheet1'!$L$16"}</definedName>
    <definedName name="______________________________________________a1" hidden="1">{"'Sheet1'!$L$16"}</definedName>
    <definedName name="______________________________________________DT12" hidden="1">{"'Sheet1'!$L$16"}</definedName>
    <definedName name="______________________________________________PA3" hidden="1">{"'Sheet1'!$L$16"}</definedName>
    <definedName name="_____________________________________________a1" hidden="1">{"'Sheet1'!$L$16"}</definedName>
    <definedName name="_____________________________________________DT12" hidden="1">{"'Sheet1'!$L$16"}</definedName>
    <definedName name="_____________________________________________PA3" hidden="1">{"'Sheet1'!$L$16"}</definedName>
    <definedName name="____________________________________________a1" hidden="1">{"'Sheet1'!$L$16"}</definedName>
    <definedName name="____________________________________________DT12" hidden="1">{"'Sheet1'!$L$16"}</definedName>
    <definedName name="____________________________________________PA3" hidden="1">{"'Sheet1'!$L$16"}</definedName>
    <definedName name="___________________________________________a1" hidden="1">{"'Sheet1'!$L$16"}</definedName>
    <definedName name="___________________________________________DT12" hidden="1">{"'Sheet1'!$L$16"}</definedName>
    <definedName name="___________________________________________PA3" hidden="1">{"'Sheet1'!$L$16"}</definedName>
    <definedName name="__________________________________________a1" hidden="1">{"'Sheet1'!$L$16"}</definedName>
    <definedName name="__________________________________________DT12" hidden="1">{"'Sheet1'!$L$16"}</definedName>
    <definedName name="__________________________________________PA3" hidden="1">{"'Sheet1'!$L$16"}</definedName>
    <definedName name="_________________________________________a1" hidden="1">{"'Sheet1'!$L$16"}</definedName>
    <definedName name="_________________________________________DT12" hidden="1">{"'Sheet1'!$L$16"}</definedName>
    <definedName name="_________________________________________PA3" hidden="1">{"'Sheet1'!$L$16"}</definedName>
    <definedName name="________________________________________a1" hidden="1">{"'Sheet1'!$L$16"}</definedName>
    <definedName name="________________________________________DT12" hidden="1">{"'Sheet1'!$L$16"}</definedName>
    <definedName name="________________________________________PA3" hidden="1">{"'Sheet1'!$L$16"}</definedName>
    <definedName name="_______________________________________a1" hidden="1">{"'Sheet1'!$L$16"}</definedName>
    <definedName name="_______________________________________DT12" hidden="1">{"'Sheet1'!$L$16"}</definedName>
    <definedName name="_______________________________________PA3" hidden="1">{"'Sheet1'!$L$16"}</definedName>
    <definedName name="______________________________________a1" hidden="1">{"'Sheet1'!$L$16"}</definedName>
    <definedName name="______________________________________DT12" hidden="1">{"'Sheet1'!$L$16"}</definedName>
    <definedName name="______________________________________PA3" hidden="1">{"'Sheet1'!$L$16"}</definedName>
    <definedName name="_____________________________________a1" hidden="1">{"'Sheet1'!$L$16"}</definedName>
    <definedName name="_____________________________________DT12" hidden="1">{"'Sheet1'!$L$16"}</definedName>
    <definedName name="_____________________________________PA3" hidden="1">{"'Sheet1'!$L$16"}</definedName>
    <definedName name="____________________________________a1" hidden="1">{"'Sheet1'!$L$16"}</definedName>
    <definedName name="____________________________________DT12" hidden="1">{"'Sheet1'!$L$16"}</definedName>
    <definedName name="____________________________________PA3" hidden="1">{"'Sheet1'!$L$16"}</definedName>
    <definedName name="___________________________________a1" hidden="1">{"'Sheet1'!$L$16"}</definedName>
    <definedName name="___________________________________DT12" hidden="1">{"'Sheet1'!$L$16"}</definedName>
    <definedName name="___________________________________PA3" hidden="1">{"'Sheet1'!$L$16"}</definedName>
    <definedName name="__________________________________a1" hidden="1">{"'Sheet1'!$L$16"}</definedName>
    <definedName name="__________________________________DT12" hidden="1">{"'Sheet1'!$L$16"}</definedName>
    <definedName name="__________________________________PA3" hidden="1">{"'Sheet1'!$L$16"}</definedName>
    <definedName name="_________________________________a1" hidden="1">{"'Sheet1'!$L$16"}</definedName>
    <definedName name="_________________________________DT12" hidden="1">{"'Sheet1'!$L$16"}</definedName>
    <definedName name="_________________________________PA3" hidden="1">{"'Sheet1'!$L$16"}</definedName>
    <definedName name="________________________________a1" hidden="1">{"'Sheet1'!$L$16"}</definedName>
    <definedName name="________________________________DT12" hidden="1">{"'Sheet1'!$L$16"}</definedName>
    <definedName name="________________________________PA3" hidden="1">{"'Sheet1'!$L$16"}</definedName>
    <definedName name="_______________________________a1" hidden="1">{"'Sheet1'!$L$16"}</definedName>
    <definedName name="_______________________________DT12" hidden="1">{"'Sheet1'!$L$16"}</definedName>
    <definedName name="_______________________________PA3" hidden="1">{"'Sheet1'!$L$16"}</definedName>
    <definedName name="______________________________a1" hidden="1">{"'Sheet1'!$L$16"}</definedName>
    <definedName name="______________________________DT12" hidden="1">{"'Sheet1'!$L$16"}</definedName>
    <definedName name="______________________________PA3" hidden="1">{"'Sheet1'!$L$16"}</definedName>
    <definedName name="_____________________________a1" hidden="1">{"'Sheet1'!$L$16"}</definedName>
    <definedName name="_____________________________DT12" hidden="1">{"'Sheet1'!$L$16"}</definedName>
    <definedName name="_____________________________PA3" hidden="1">{"'Sheet1'!$L$16"}</definedName>
    <definedName name="____________________________a1" hidden="1">{"'Sheet1'!$L$16"}</definedName>
    <definedName name="____________________________DT12" hidden="1">{"'Sheet1'!$L$16"}</definedName>
    <definedName name="____________________________PA3" hidden="1">{"'Sheet1'!$L$16"}</definedName>
    <definedName name="___________________________a1" hidden="1">{"'Sheet1'!$L$16"}</definedName>
    <definedName name="___________________________DT12" hidden="1">{"'Sheet1'!$L$16"}</definedName>
    <definedName name="___________________________PA3" hidden="1">{"'Sheet1'!$L$16"}</definedName>
    <definedName name="__________________________a1" hidden="1">{"'Sheet1'!$L$16"}</definedName>
    <definedName name="__________________________DT12" hidden="1">{"'Sheet1'!$L$16"}</definedName>
    <definedName name="__________________________PA3" hidden="1">{"'Sheet1'!$L$16"}</definedName>
    <definedName name="_________________________a1" hidden="1">{"'Sheet1'!$L$16"}</definedName>
    <definedName name="_________________________DT12" hidden="1">{"'Sheet1'!$L$16"}</definedName>
    <definedName name="_________________________PA3" hidden="1">{"'Sheet1'!$L$16"}</definedName>
    <definedName name="________________________a1" hidden="1">{"'Sheet1'!$L$16"}</definedName>
    <definedName name="________________________DT12" hidden="1">{"'Sheet1'!$L$16"}</definedName>
    <definedName name="________________________PA3" hidden="1">{"'Sheet1'!$L$16"}</definedName>
    <definedName name="_______________________a1" hidden="1">{"'Sheet1'!$L$16"}</definedName>
    <definedName name="_______________________DT12" hidden="1">{"'Sheet1'!$L$16"}</definedName>
    <definedName name="_______________________h1" hidden="1">{"'Sheet1'!$L$16"}</definedName>
    <definedName name="_______________________h10" hidden="1">{#N/A,#N/A,FALSE,"Chi tiÆt"}</definedName>
    <definedName name="_______________________h2" hidden="1">{"'Sheet1'!$L$16"}</definedName>
    <definedName name="_______________________h3" hidden="1">{"'Sheet1'!$L$16"}</definedName>
    <definedName name="_______________________h5" hidden="1">{"'Sheet1'!$L$16"}</definedName>
    <definedName name="_______________________h6" hidden="1">{"'Sheet1'!$L$16"}</definedName>
    <definedName name="_______________________h7" hidden="1">{"'Sheet1'!$L$16"}</definedName>
    <definedName name="_______________________h8" hidden="1">{"'Sheet1'!$L$16"}</definedName>
    <definedName name="_______________________h9" hidden="1">{"'Sheet1'!$L$16"}</definedName>
    <definedName name="_______________________PA3" hidden="1">{"'Sheet1'!$L$16"}</definedName>
    <definedName name="______________________a1" hidden="1">{"'Sheet1'!$L$16"}</definedName>
    <definedName name="______________________DT12" hidden="1">{"'Sheet1'!$L$16"}</definedName>
    <definedName name="______________________PA3" hidden="1">{"'Sheet1'!$L$16"}</definedName>
    <definedName name="_____________________a1" hidden="1">{"'Sheet1'!$L$16"}</definedName>
    <definedName name="_____________________DT12" hidden="1">{"'Sheet1'!$L$16"}</definedName>
    <definedName name="_____________________h1" hidden="1">{"'Sheet1'!$L$16"}</definedName>
    <definedName name="_____________________h10" hidden="1">{#N/A,#N/A,FALSE,"Chi tiÆt"}</definedName>
    <definedName name="_____________________h2" hidden="1">{"'Sheet1'!$L$16"}</definedName>
    <definedName name="_____________________h3" hidden="1">{"'Sheet1'!$L$16"}</definedName>
    <definedName name="_____________________h5" hidden="1">{"'Sheet1'!$L$16"}</definedName>
    <definedName name="_____________________h6" hidden="1">{"'Sheet1'!$L$16"}</definedName>
    <definedName name="_____________________h7" hidden="1">{"'Sheet1'!$L$16"}</definedName>
    <definedName name="_____________________h8" hidden="1">{"'Sheet1'!$L$16"}</definedName>
    <definedName name="_____________________h9" hidden="1">{"'Sheet1'!$L$16"}</definedName>
    <definedName name="_____________________NSO2" hidden="1">{"'Sheet1'!$L$16"}</definedName>
    <definedName name="_____________________PA3" hidden="1">{"'Sheet1'!$L$16"}</definedName>
    <definedName name="____________________a1" hidden="1">{"'Sheet1'!$L$16"}</definedName>
    <definedName name="____________________DT12" hidden="1">{"'Sheet1'!$L$16"}</definedName>
    <definedName name="____________________h1" hidden="1">{"'Sheet1'!$L$16"}</definedName>
    <definedName name="____________________h10" hidden="1">{#N/A,#N/A,FALSE,"Chi tiÆt"}</definedName>
    <definedName name="____________________h2" hidden="1">{"'Sheet1'!$L$16"}</definedName>
    <definedName name="____________________h3" hidden="1">{"'Sheet1'!$L$16"}</definedName>
    <definedName name="____________________h5" hidden="1">{"'Sheet1'!$L$16"}</definedName>
    <definedName name="____________________h6" hidden="1">{"'Sheet1'!$L$16"}</definedName>
    <definedName name="____________________h7" hidden="1">{"'Sheet1'!$L$16"}</definedName>
    <definedName name="____________________h8" hidden="1">{"'Sheet1'!$L$16"}</definedName>
    <definedName name="____________________h9" hidden="1">{"'Sheet1'!$L$16"}</definedName>
    <definedName name="____________________PA3" hidden="1">{"'Sheet1'!$L$16"}</definedName>
    <definedName name="___________________a1" hidden="1">{"'Sheet1'!$L$16"}</definedName>
    <definedName name="___________________DT12" hidden="1">{"'Sheet1'!$L$16"}</definedName>
    <definedName name="___________________h1" hidden="1">{"'Sheet1'!$L$16"}</definedName>
    <definedName name="___________________h10" hidden="1">{#N/A,#N/A,FALSE,"Chi tiÆt"}</definedName>
    <definedName name="___________________h2" hidden="1">{"'Sheet1'!$L$16"}</definedName>
    <definedName name="___________________h3" hidden="1">{"'Sheet1'!$L$16"}</definedName>
    <definedName name="___________________h5" hidden="1">{"'Sheet1'!$L$16"}</definedName>
    <definedName name="___________________h6" hidden="1">{"'Sheet1'!$L$16"}</definedName>
    <definedName name="___________________h7" hidden="1">{"'Sheet1'!$L$16"}</definedName>
    <definedName name="___________________h8" hidden="1">{"'Sheet1'!$L$16"}</definedName>
    <definedName name="___________________h9" hidden="1">{"'Sheet1'!$L$16"}</definedName>
    <definedName name="___________________NSO2" hidden="1">{"'Sheet1'!$L$16"}</definedName>
    <definedName name="___________________PA3" hidden="1">{"'Sheet1'!$L$16"}</definedName>
    <definedName name="__________________a1" hidden="1">{"'Sheet1'!$L$16"}</definedName>
    <definedName name="__________________DT12" hidden="1">{"'Sheet1'!$L$16"}</definedName>
    <definedName name="__________________NSO2" hidden="1">{"'Sheet1'!$L$16"}</definedName>
    <definedName name="__________________PA3" hidden="1">{"'Sheet1'!$L$16"}</definedName>
    <definedName name="_________________a1" hidden="1">{"'Sheet1'!$L$16"}</definedName>
    <definedName name="_________________DT12" hidden="1">{"'Sheet1'!$L$16"}</definedName>
    <definedName name="_________________h1" hidden="1">{"'Sheet1'!$L$16"}</definedName>
    <definedName name="_________________h10" hidden="1">{#N/A,#N/A,FALSE,"Chi tiÆt"}</definedName>
    <definedName name="_________________h2" hidden="1">{"'Sheet1'!$L$16"}</definedName>
    <definedName name="_________________h3" hidden="1">{"'Sheet1'!$L$16"}</definedName>
    <definedName name="_________________h5" hidden="1">{"'Sheet1'!$L$16"}</definedName>
    <definedName name="_________________h6" hidden="1">{"'Sheet1'!$L$16"}</definedName>
    <definedName name="_________________h7" hidden="1">{"'Sheet1'!$L$16"}</definedName>
    <definedName name="_________________h8" hidden="1">{"'Sheet1'!$L$16"}</definedName>
    <definedName name="_________________h9" hidden="1">{"'Sheet1'!$L$16"}</definedName>
    <definedName name="_________________NSO2" hidden="1">{"'Sheet1'!$L$16"}</definedName>
    <definedName name="_________________PA3" hidden="1">{"'Sheet1'!$L$16"}</definedName>
    <definedName name="________________a1" hidden="1">{"'Sheet1'!$L$16"}</definedName>
    <definedName name="________________DT12" hidden="1">{"'Sheet1'!$L$16"}</definedName>
    <definedName name="________________h1" hidden="1">{"'Sheet1'!$L$16"}</definedName>
    <definedName name="________________h10" hidden="1">{#N/A,#N/A,FALSE,"Chi tiÆt"}</definedName>
    <definedName name="________________h2" hidden="1">{"'Sheet1'!$L$16"}</definedName>
    <definedName name="________________h3" hidden="1">{"'Sheet1'!$L$16"}</definedName>
    <definedName name="________________h5" hidden="1">{"'Sheet1'!$L$16"}</definedName>
    <definedName name="________________h6" hidden="1">{"'Sheet1'!$L$16"}</definedName>
    <definedName name="________________h7" hidden="1">{"'Sheet1'!$L$16"}</definedName>
    <definedName name="________________h8" hidden="1">{"'Sheet1'!$L$16"}</definedName>
    <definedName name="________________h9" hidden="1">{"'Sheet1'!$L$16"}</definedName>
    <definedName name="________________PA3" hidden="1">{"'Sheet1'!$L$16"}</definedName>
    <definedName name="_______________a1" hidden="1">{"'Sheet1'!$L$16"}</definedName>
    <definedName name="_______________DT12" hidden="1">{"'Sheet1'!$L$16"}</definedName>
    <definedName name="_______________h1" hidden="1">{"'Sheet1'!$L$16"}</definedName>
    <definedName name="_______________h10" hidden="1">{#N/A,#N/A,FALSE,"Chi tiÆt"}</definedName>
    <definedName name="_______________h2" hidden="1">{"'Sheet1'!$L$16"}</definedName>
    <definedName name="_______________h3" hidden="1">{"'Sheet1'!$L$16"}</definedName>
    <definedName name="_______________h5" hidden="1">{"'Sheet1'!$L$16"}</definedName>
    <definedName name="_______________h6" hidden="1">{"'Sheet1'!$L$16"}</definedName>
    <definedName name="_______________h7" hidden="1">{"'Sheet1'!$L$16"}</definedName>
    <definedName name="_______________h8" hidden="1">{"'Sheet1'!$L$16"}</definedName>
    <definedName name="_______________h9" hidden="1">{"'Sheet1'!$L$16"}</definedName>
    <definedName name="_______________NSO2" hidden="1">{"'Sheet1'!$L$16"}</definedName>
    <definedName name="_______________PA3" hidden="1">{"'Sheet1'!$L$16"}</definedName>
    <definedName name="______________a1" hidden="1">{"'Sheet1'!$L$16"}</definedName>
    <definedName name="______________DT12" hidden="1">{"'Sheet1'!$L$16"}</definedName>
    <definedName name="______________non1" hidden="1">{#N/A,#N/A,FALSE,"RECONC'L";#N/A,#N/A,FALSE,"WORKCAP";#N/A,#N/A,FALSE,"RECONC'L";#N/A,#N/A,FALSE,"ACCRUAL";#N/A,#N/A,FALSE,"DEBTOR";#N/A,#N/A,FALSE,"ADMALLOC"}</definedName>
    <definedName name="______________NSO2" hidden="1">{"'Sheet1'!$L$16"}</definedName>
    <definedName name="______________PA3" hidden="1">{"'Sheet1'!$L$16"}</definedName>
    <definedName name="_____________a1" hidden="1">{"'Sheet1'!$L$16"}</definedName>
    <definedName name="_____________DT12" hidden="1">{"'Sheet1'!$L$16"}</definedName>
    <definedName name="_____________h1" hidden="1">{"'Sheet1'!$L$16"}</definedName>
    <definedName name="_____________h10" hidden="1">{#N/A,#N/A,FALSE,"Chi tiÆt"}</definedName>
    <definedName name="_____________h2" hidden="1">{"'Sheet1'!$L$16"}</definedName>
    <definedName name="_____________h3" hidden="1">{"'Sheet1'!$L$16"}</definedName>
    <definedName name="_____________h5" hidden="1">{"'Sheet1'!$L$16"}</definedName>
    <definedName name="_____________h6" hidden="1">{"'Sheet1'!$L$16"}</definedName>
    <definedName name="_____________h7" hidden="1">{"'Sheet1'!$L$16"}</definedName>
    <definedName name="_____________h8" hidden="1">{"'Sheet1'!$L$16"}</definedName>
    <definedName name="_____________h9" hidden="1">{"'Sheet1'!$L$16"}</definedName>
    <definedName name="_____________non1" hidden="1">{#N/A,#N/A,FALSE,"RECONC'L";#N/A,#N/A,FALSE,"WORKCAP";#N/A,#N/A,FALSE,"RECONC'L";#N/A,#N/A,FALSE,"ACCRUAL";#N/A,#N/A,FALSE,"DEBTOR";#N/A,#N/A,FALSE,"ADMALLOC"}</definedName>
    <definedName name="_____________NSO2" hidden="1">{"'Sheet1'!$L$16"}</definedName>
    <definedName name="_____________PA3" hidden="1">{"'Sheet1'!$L$16"}</definedName>
    <definedName name="_____________t2" hidden="1">{"'Sheet1'!$L$16"}</definedName>
    <definedName name="____________a1" hidden="1">{"'Sheet1'!$L$16"}</definedName>
    <definedName name="____________DT12" hidden="1">{"'Sheet1'!$L$16"}</definedName>
    <definedName name="____________non1" hidden="1">{#N/A,#N/A,FALSE,"RECONC'L";#N/A,#N/A,FALSE,"WORKCAP";#N/A,#N/A,FALSE,"RECONC'L";#N/A,#N/A,FALSE,"ACCRUAL";#N/A,#N/A,FALSE,"DEBTOR";#N/A,#N/A,FALSE,"ADMALLOC"}</definedName>
    <definedName name="____________PA3" hidden="1">{"'Sheet1'!$L$16"}</definedName>
    <definedName name="____________t2" hidden="1">{"'Sheet1'!$L$16"}</definedName>
    <definedName name="___________a1" hidden="1">{"'Sheet1'!$L$16"}</definedName>
    <definedName name="___________DT12" hidden="1">{"'Sheet1'!$L$16"}</definedName>
    <definedName name="___________Goi8" hidden="1">{"'Sheet1'!$L$16"}</definedName>
    <definedName name="___________h1" hidden="1">{"'Sheet1'!$L$16"}</definedName>
    <definedName name="___________h10" hidden="1">{#N/A,#N/A,FALSE,"Chi tiÆt"}</definedName>
    <definedName name="___________h2" hidden="1">{"'Sheet1'!$L$16"}</definedName>
    <definedName name="___________h3" hidden="1">{"'Sheet1'!$L$16"}</definedName>
    <definedName name="___________h5" hidden="1">{"'Sheet1'!$L$16"}</definedName>
    <definedName name="___________h6" hidden="1">{"'Sheet1'!$L$16"}</definedName>
    <definedName name="___________h7" hidden="1">{"'Sheet1'!$L$16"}</definedName>
    <definedName name="___________h8" hidden="1">{"'Sheet1'!$L$16"}</definedName>
    <definedName name="___________h9" hidden="1">{"'Sheet1'!$L$16"}</definedName>
    <definedName name="___________NSO2" hidden="1">{"'Sheet1'!$L$16"}</definedName>
    <definedName name="___________PA3" hidden="1">{"'Sheet1'!$L$16"}</definedName>
    <definedName name="___________t2" hidden="1">{"'Sheet1'!$L$16"}</definedName>
    <definedName name="__________a1" hidden="1">{"'Sheet1'!$L$16"}</definedName>
    <definedName name="__________DT12" hidden="1">{"'Sheet1'!$L$16"}</definedName>
    <definedName name="__________Goi8" hidden="1">{"'Sheet1'!$L$16"}</definedName>
    <definedName name="__________h1" hidden="1">{"'Sheet1'!$L$16"}</definedName>
    <definedName name="__________h10" hidden="1">{#N/A,#N/A,FALSE,"Chi tiÆt"}</definedName>
    <definedName name="__________h2" hidden="1">{"'Sheet1'!$L$16"}</definedName>
    <definedName name="__________h3" hidden="1">{"'Sheet1'!$L$16"}</definedName>
    <definedName name="__________h5" hidden="1">{"'Sheet1'!$L$16"}</definedName>
    <definedName name="__________h6" hidden="1">{"'Sheet1'!$L$16"}</definedName>
    <definedName name="__________h7" hidden="1">{"'Sheet1'!$L$16"}</definedName>
    <definedName name="__________h8" hidden="1">{"'Sheet1'!$L$16"}</definedName>
    <definedName name="__________h9" hidden="1">{"'Sheet1'!$L$16"}</definedName>
    <definedName name="__________non1" hidden="1">{#N/A,#N/A,FALSE,"RECONC'L";#N/A,#N/A,FALSE,"WORKCAP";#N/A,#N/A,FALSE,"RECONC'L";#N/A,#N/A,FALSE,"ACCRUAL";#N/A,#N/A,FALSE,"DEBTOR";#N/A,#N/A,FALSE,"ADMALLOC"}</definedName>
    <definedName name="__________PA3" hidden="1">{"'Sheet1'!$L$16"}</definedName>
    <definedName name="_________a1" hidden="1">{"'Sheet1'!$L$16"}</definedName>
    <definedName name="_________DT12" hidden="1">{"'Sheet1'!$L$16"}</definedName>
    <definedName name="_________Goi8" hidden="1">{"'Sheet1'!$L$16"}</definedName>
    <definedName name="_________h1" hidden="1">{"'Sheet1'!$L$16"}</definedName>
    <definedName name="_________h10" hidden="1">{#N/A,#N/A,FALSE,"Chi tiÆt"}</definedName>
    <definedName name="_________h2" hidden="1">{"'Sheet1'!$L$16"}</definedName>
    <definedName name="_________h3" hidden="1">{"'Sheet1'!$L$16"}</definedName>
    <definedName name="_________h5" hidden="1">{"'Sheet1'!$L$16"}</definedName>
    <definedName name="_________h6" hidden="1">{"'Sheet1'!$L$16"}</definedName>
    <definedName name="_________h7" hidden="1">{"'Sheet1'!$L$16"}</definedName>
    <definedName name="_________h8" hidden="1">{"'Sheet1'!$L$16"}</definedName>
    <definedName name="_________h9" hidden="1">{"'Sheet1'!$L$16"}</definedName>
    <definedName name="_________NSO2" hidden="1">{"'Sheet1'!$L$16"}</definedName>
    <definedName name="_________PA3" hidden="1">{"'Sheet1'!$L$16"}</definedName>
    <definedName name="_________t2" hidden="1">{"'Sheet1'!$L$16"}</definedName>
    <definedName name="________a1" hidden="1">{"'Sheet1'!$L$16"}</definedName>
    <definedName name="________DT12" hidden="1">{"'Sheet1'!$L$16"}</definedName>
    <definedName name="________h1" hidden="1">{"'Sheet1'!$L$16"}</definedName>
    <definedName name="________h10" hidden="1">{#N/A,#N/A,FALSE,"Chi tiÆt"}</definedName>
    <definedName name="________h2" hidden="1">{"'Sheet1'!$L$16"}</definedName>
    <definedName name="________h3" hidden="1">{"'Sheet1'!$L$16"}</definedName>
    <definedName name="________h5" hidden="1">{"'Sheet1'!$L$16"}</definedName>
    <definedName name="________h6" hidden="1">{"'Sheet1'!$L$16"}</definedName>
    <definedName name="________h7" hidden="1">{"'Sheet1'!$L$16"}</definedName>
    <definedName name="________h8" hidden="1">{"'Sheet1'!$L$16"}</definedName>
    <definedName name="________h9" hidden="1">{"'Sheet1'!$L$16"}</definedName>
    <definedName name="________non1" hidden="1">{#N/A,#N/A,FALSE,"RECONC'L";#N/A,#N/A,FALSE,"WORKCAP";#N/A,#N/A,FALSE,"RECONC'L";#N/A,#N/A,FALSE,"ACCRUAL";#N/A,#N/A,FALSE,"DEBTOR";#N/A,#N/A,FALSE,"ADMALLOC"}</definedName>
    <definedName name="________PA3" hidden="1">{"'Sheet1'!$L$16"}</definedName>
    <definedName name="_______a1" hidden="1">{"'Sheet1'!$L$16"}</definedName>
    <definedName name="_______DT12" hidden="1">{"'Sheet1'!$L$16"}</definedName>
    <definedName name="_______Goi8" hidden="1">{"'Sheet1'!$L$16"}</definedName>
    <definedName name="_______h1" hidden="1">{"'Sheet1'!$L$16"}</definedName>
    <definedName name="_______h10" hidden="1">{#N/A,#N/A,FALSE,"Chi tiÆt"}</definedName>
    <definedName name="_______h2" hidden="1">{"'Sheet1'!$L$16"}</definedName>
    <definedName name="_______h3" hidden="1">{"'Sheet1'!$L$16"}</definedName>
    <definedName name="_______h5" hidden="1">{"'Sheet1'!$L$16"}</definedName>
    <definedName name="_______h6" hidden="1">{"'Sheet1'!$L$16"}</definedName>
    <definedName name="_______h7" hidden="1">{"'Sheet1'!$L$16"}</definedName>
    <definedName name="_______h8" hidden="1">{"'Sheet1'!$L$16"}</definedName>
    <definedName name="_______h9" hidden="1">{"'Sheet1'!$L$16"}</definedName>
    <definedName name="_______NSO2" hidden="1">{"'Sheet1'!$L$16"}</definedName>
    <definedName name="_______PA3" hidden="1">{"'Sheet1'!$L$16"}</definedName>
    <definedName name="_______t2" hidden="1">{"'Sheet1'!$L$16"}</definedName>
    <definedName name="______a1" hidden="1">{"'Sheet1'!$L$16"}</definedName>
    <definedName name="______DT12" hidden="1">{"'Sheet1'!$L$16"}</definedName>
    <definedName name="______Goi8" hidden="1">{"'Sheet1'!$L$16"}</definedName>
    <definedName name="______h1" hidden="1">{"'Sheet1'!$L$16"}</definedName>
    <definedName name="______h10" hidden="1">{#N/A,#N/A,FALSE,"Chi tiÆt"}</definedName>
    <definedName name="______h2" hidden="1">{"'Sheet1'!$L$16"}</definedName>
    <definedName name="______h3" hidden="1">{"'Sheet1'!$L$16"}</definedName>
    <definedName name="______h5" hidden="1">{"'Sheet1'!$L$16"}</definedName>
    <definedName name="______h6" hidden="1">{"'Sheet1'!$L$16"}</definedName>
    <definedName name="______h7" hidden="1">{"'Sheet1'!$L$16"}</definedName>
    <definedName name="______h8" hidden="1">{"'Sheet1'!$L$16"}</definedName>
    <definedName name="______h9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non1" hidden="1">{#N/A,#N/A,FALSE,"RECONC'L";#N/A,#N/A,FALSE,"WORKCAP";#N/A,#N/A,FALSE,"RECONC'L";#N/A,#N/A,FALSE,"ACCRUAL";#N/A,#N/A,FALSE,"DEBTOR";#N/A,#N/A,FALSE,"ADMALLOC"}</definedName>
    <definedName name="______NSO2" hidden="1">{"'Sheet1'!$L$16"}</definedName>
    <definedName name="______PA3" hidden="1">{"'Sheet1'!$L$16"}</definedName>
    <definedName name="______SCL4" hidden="1">{"'Sheet1'!$L$16"}</definedName>
    <definedName name="______vl2" hidden="1">{"'Sheet1'!$L$16"}</definedName>
    <definedName name="_____a1" hidden="1">{"'Sheet1'!$L$16"}</definedName>
    <definedName name="_____DT12" hidden="1">{"'Sheet1'!$L$16"}</definedName>
    <definedName name="_____Goi8" hidden="1">{"'Sheet1'!$L$16"}</definedName>
    <definedName name="_____h1" hidden="1">{"'Sheet1'!$L$16"}</definedName>
    <definedName name="_____h10" hidden="1">{#N/A,#N/A,FALSE,"Chi tiÆt"}</definedName>
    <definedName name="_____h2" hidden="1">{"'Sheet1'!$L$16"}</definedName>
    <definedName name="_____h3" hidden="1">{"'Sheet1'!$L$16"}</definedName>
    <definedName name="_____h5" hidden="1">{"'Sheet1'!$L$16"}</definedName>
    <definedName name="_____h6" hidden="1">{"'Sheet1'!$L$16"}</definedName>
    <definedName name="_____h7" hidden="1">{"'Sheet1'!$L$16"}</definedName>
    <definedName name="_____h8" hidden="1">{"'Sheet1'!$L$16"}</definedName>
    <definedName name="_____h9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non1" hidden="1">{#N/A,#N/A,FALSE,"RECONC'L";#N/A,#N/A,FALSE,"WORKCAP";#N/A,#N/A,FALSE,"RECONC'L";#N/A,#N/A,FALSE,"ACCRUAL";#N/A,#N/A,FALSE,"DEBTOR";#N/A,#N/A,FALSE,"ADMALLOC"}</definedName>
    <definedName name="_____NSO2" hidden="1">{"'Sheet1'!$L$16"}</definedName>
    <definedName name="_____PA3" hidden="1">{"'Sheet1'!$L$16"}</definedName>
    <definedName name="_____SCL4" hidden="1">{"'Sheet1'!$L$16"}</definedName>
    <definedName name="_____t2" hidden="1">{"'Sheet1'!$L$16"}</definedName>
    <definedName name="_____vl2" hidden="1">{"'Sheet1'!$L$16"}</definedName>
    <definedName name="____a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B1" hidden="1">{"'Sheet1'!$L$16"}</definedName>
    <definedName name="____ban2" hidden="1">{"'Sheet1'!$L$16"}</definedName>
    <definedName name="____Coc39" hidden="1">{"'Sheet1'!$L$16"}</definedName>
    <definedName name="____DT12" hidden="1">{"'Sheet1'!$L$16"}</definedName>
    <definedName name="____Goi8" hidden="1">{"'Sheet1'!$L$16"}</definedName>
    <definedName name="____h1" hidden="1">{"'Sheet1'!$L$16"}</definedName>
    <definedName name="____h10" hidden="1">{#N/A,#N/A,FALSE,"Chi tiÆt"}</definedName>
    <definedName name="____h2" hidden="1">{"'Sheet1'!$L$16"}</definedName>
    <definedName name="____h3" hidden="1">{"'Sheet1'!$L$16"}</definedName>
    <definedName name="____h5" hidden="1">{"'Sheet1'!$L$16"}</definedName>
    <definedName name="____h6" hidden="1">{"'Sheet1'!$L$16"}</definedName>
    <definedName name="____h7" hidden="1">{"'Sheet1'!$L$16"}</definedName>
    <definedName name="____h8" hidden="1">{"'Sheet1'!$L$16"}</definedName>
    <definedName name="____h9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y1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36" hidden="1">{"'Sheet1'!$L$16"}</definedName>
    <definedName name="____non1" hidden="1">{#N/A,#N/A,FALSE,"RECONC'L";#N/A,#N/A,FALSE,"WORKCAP";#N/A,#N/A,FALSE,"RECONC'L";#N/A,#N/A,FALSE,"ACCRUAL";#N/A,#N/A,FALSE,"DEBTOR";#N/A,#N/A,FALSE,"ADMALLOC"}</definedName>
    <definedName name="____NSO2" hidden="1">{"'Sheet1'!$L$16"}</definedName>
    <definedName name="____PA3" hidden="1">{"'Sheet1'!$L$16"}</definedName>
    <definedName name="____Pl2" hidden="1">{"'Sheet1'!$L$16"}</definedName>
    <definedName name="____SCL4" hidden="1">{"'Sheet1'!$L$16"}</definedName>
    <definedName name="____t2" hidden="1">{"'Sheet1'!$L$16"}</definedName>
    <definedName name="____TK635" hidden="1">{"'Sheet1'!$L$16"}</definedName>
    <definedName name="____Tru21" hidden="1">{"'Sheet1'!$L$16"}</definedName>
    <definedName name="____tt3" hidden="1">{"'Sheet1'!$L$16"}</definedName>
    <definedName name="____vl2" hidden="1">{"'Sheet1'!$L$16"}</definedName>
    <definedName name="___a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B1" hidden="1">{"'Sheet1'!$L$16"}</definedName>
    <definedName name="___ban2" hidden="1">{"'Sheet1'!$L$16"}</definedName>
    <definedName name="___Coc39" hidden="1">{"'Sheet1'!$L$16"}</definedName>
    <definedName name="___d1500" hidden="1">{"'Sheet1'!$L$16"}</definedName>
    <definedName name="___DT12" hidden="1">{"'Sheet1'!$L$16"}</definedName>
    <definedName name="___f5" hidden="1">{"'Sheet1'!$L$16"}</definedName>
    <definedName name="___Goi8" hidden="1">{"'Sheet1'!$L$16"}</definedName>
    <definedName name="___h1" hidden="1">{"'Sheet1'!$L$16"}</definedName>
    <definedName name="___h10" hidden="1">{#N/A,#N/A,FALSE,"Chi tiÆt"}</definedName>
    <definedName name="___h2" hidden="1">{"'Sheet1'!$L$16"}</definedName>
    <definedName name="___h3" hidden="1">{"'Sheet1'!$L$16"}</definedName>
    <definedName name="___h5" hidden="1">{"'Sheet1'!$L$16"}</definedName>
    <definedName name="___h6" hidden="1">{"'Sheet1'!$L$16"}</definedName>
    <definedName name="___h7" hidden="1">{"'Sheet1'!$L$16"}</definedName>
    <definedName name="___h8" hidden="1">{"'Sheet1'!$L$16"}</definedName>
    <definedName name="___h9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Lan1" hidden="1">{"'Sheet1'!$L$16"}</definedName>
    <definedName name="___LAN3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nam1" hidden="1">{"'Sheet1'!$L$16"}</definedName>
    <definedName name="___nam3" hidden="1">{"'Sheet1'!$L$16"}</definedName>
    <definedName name="___non1" hidden="1">{#N/A,#N/A,FALSE,"RECONC'L";#N/A,#N/A,FALSE,"WORKCAP";#N/A,#N/A,FALSE,"RECONC'L";#N/A,#N/A,FALSE,"ACCRUAL";#N/A,#N/A,FALSE,"DEBTOR";#N/A,#N/A,FALSE,"ADMALLOC"}</definedName>
    <definedName name="___NSO2" hidden="1">{"'Sheet1'!$L$16"}</definedName>
    <definedName name="___PA3" hidden="1">{"'Sheet1'!$L$16"}</definedName>
    <definedName name="___Pl2" hidden="1">{"'Sheet1'!$L$16"}</definedName>
    <definedName name="___PL3" hidden="1">#REF!</definedName>
    <definedName name="___SCL4" hidden="1">{"'Sheet1'!$L$16"}</definedName>
    <definedName name="___t2" hidden="1">{"'Sheet1'!$L$16"}</definedName>
    <definedName name="___TK635" hidden="1">{"'Sheet1'!$L$16"}</definedName>
    <definedName name="___Tru21" hidden="1">{"'Sheet1'!$L$16"}</definedName>
    <definedName name="___tt3" hidden="1">{"'Sheet1'!$L$16"}</definedName>
    <definedName name="___vl2" hidden="1">{"'Sheet1'!$L$16"}</definedName>
    <definedName name="__a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{#N/A,#N/A,FALSE,"Chi tiÆt"}</definedName>
    <definedName name="__B1" hidden="1">{"'Sheet1'!$L$16"}</definedName>
    <definedName name="__ban2" hidden="1">{"'Sheet1'!$L$16"}</definedName>
    <definedName name="__Coc39" hidden="1">{"'Sheet1'!$L$16"}</definedName>
    <definedName name="__d1500" hidden="1">{"'Sheet1'!$L$16"}</definedName>
    <definedName name="__DT12" hidden="1">{"'Sheet1'!$L$16"}</definedName>
    <definedName name="__f5" hidden="1">{"'Sheet1'!$L$16"}</definedName>
    <definedName name="__Goi8" hidden="1">{"'Sheet1'!$L$16"}</definedName>
    <definedName name="__h1" hidden="1">{"'Sheet1'!$L$16"}</definedName>
    <definedName name="__h10" hidden="1">{#N/A,#N/A,FALSE,"Chi tiÆt"}</definedName>
    <definedName name="__h2" hidden="1">{"'Sheet1'!$L$16"}</definedName>
    <definedName name="__h3" hidden="1">{"'Sheet1'!$L$16"}</definedName>
    <definedName name="__h5" hidden="1">{"'Sheet1'!$L$16"}</definedName>
    <definedName name="__h6" hidden="1">{"'Sheet1'!$L$16"}</definedName>
    <definedName name="__h7" hidden="1">{"'Sheet1'!$L$16"}</definedName>
    <definedName name="__h8" hidden="1">{"'Sheet1'!$L$16"}</definedName>
    <definedName name="__h9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y1" hidden="1">{"'Sheet1'!$L$16"}</definedName>
    <definedName name="__IntlFixup" hidden="1">TRUE</definedName>
    <definedName name="__Lan1" hidden="1">{"'Sheet1'!$L$16"}</definedName>
    <definedName name="__LAN3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nam1" hidden="1">{"'Sheet1'!$L$16"}</definedName>
    <definedName name="__nam2" hidden="1">{#N/A,#N/A,FALSE,"Chi tiÆt"}</definedName>
    <definedName name="__nam3" hidden="1">{"'Sheet1'!$L$16"}</definedName>
    <definedName name="__nh2" hidden="1">{#N/A,#N/A,FALSE,"Chi tiÆt"}</definedName>
    <definedName name="__non1" hidden="1">{#N/A,#N/A,FALSE,"RECONC'L";#N/A,#N/A,FALSE,"WORKCAP";#N/A,#N/A,FALSE,"RECONC'L";#N/A,#N/A,FALSE,"ACCRUAL";#N/A,#N/A,FALSE,"DEBTOR";#N/A,#N/A,FALSE,"ADMALLOC"}</definedName>
    <definedName name="__NSO2" hidden="1">{"'Sheet1'!$L$16"}</definedName>
    <definedName name="__PA3" hidden="1">{"'Sheet1'!$L$16"}</definedName>
    <definedName name="__Pl2" hidden="1">{"'Sheet1'!$L$16"}</definedName>
    <definedName name="__SCL4" hidden="1">{"'Sheet1'!$L$16"}</definedName>
    <definedName name="__t2" hidden="1">{"'Sheet1'!$L$16"}</definedName>
    <definedName name="__Tru21" hidden="1">{"'Sheet1'!$L$16"}</definedName>
    <definedName name="__tt3" hidden="1">{"'Sheet1'!$L$16"}</definedName>
    <definedName name="__vl2" hidden="1">{"'Sheet1'!$L$16"}</definedName>
    <definedName name="_a1" hidden="1">{"'Sheet1'!$L$16"}</definedName>
    <definedName name="_a1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{#N/A,#N/A,FALSE,"Chi tiÆt"}</definedName>
    <definedName name="_a22" hidden="1">{"'Sheet1'!$L$16"}</definedName>
    <definedName name="_B1" hidden="1">{"'Sheet1'!$L$16"}</definedName>
    <definedName name="_ban2" hidden="1">{"'Sheet1'!$L$16"}</definedName>
    <definedName name="_Builtin0" hidden="1">#N/A</definedName>
    <definedName name="_Coc39" hidden="1">{"'Sheet1'!$L$16"}</definedName>
    <definedName name="_d1500" hidden="1">{"'Sheet1'!$L$16"}</definedName>
    <definedName name="_DT12" hidden="1">{"'Sheet1'!$L$16"}</definedName>
    <definedName name="_f5" hidden="1">{"'Sheet1'!$L$16"}</definedName>
    <definedName name="_Fill" hidden="1">#REF!</definedName>
    <definedName name="_xlnm._FilterDatabase" localSheetId="0" hidden="1">'PL3 - Giao XP 2026'!$A$8:$AJ$136</definedName>
    <definedName name="_xlnm._FilterDatabase" hidden="1">#REF!</definedName>
    <definedName name="_Goi8" hidden="1">{"'Sheet1'!$L$16"}</definedName>
    <definedName name="_h1" hidden="1">{"'Sheet1'!$L$16"}</definedName>
    <definedName name="_h10" hidden="1">{#N/A,#N/A,FALSE,"Chi tiÆt"}</definedName>
    <definedName name="_h2" hidden="1">{"'Sheet1'!$L$16"}</definedName>
    <definedName name="_h3" hidden="1">{"'Sheet1'!$L$16"}</definedName>
    <definedName name="_h5" hidden="1">{"'Sheet1'!$L$16"}</definedName>
    <definedName name="_h6" hidden="1">{"'Sheet1'!$L$16"}</definedName>
    <definedName name="_h7" hidden="1">{"'Sheet1'!$L$16"}</definedName>
    <definedName name="_h8" hidden="1">{"'Sheet1'!$L$16"}</definedName>
    <definedName name="_h9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y1" hidden="1">{"'Sheet1'!$L$16"}</definedName>
    <definedName name="_Key1" hidden="1">#REF!</definedName>
    <definedName name="_Key2" hidden="1">#REF!</definedName>
    <definedName name="_Lan1" hidden="1">{"'Sheet1'!$L$16"}</definedName>
    <definedName name="_LAN3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nam1" hidden="1">{"'Sheet1'!$L$16"}</definedName>
    <definedName name="_nam2" hidden="1">{#N/A,#N/A,FALSE,"Chi tiÆt"}</definedName>
    <definedName name="_nam3" hidden="1">{"'Sheet1'!$L$16"}</definedName>
    <definedName name="_nh2" hidden="1">{#N/A,#N/A,FALSE,"Chi tiÆt"}</definedName>
    <definedName name="_non1" hidden="1">{#N/A,#N/A,FALSE,"RECONC'L";#N/A,#N/A,FALSE,"WORKCAP";#N/A,#N/A,FALSE,"RECONC'L";#N/A,#N/A,FALSE,"ACCRUAL";#N/A,#N/A,FALSE,"DEBTOR";#N/A,#N/A,FALSE,"ADMALLOC"}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A31" hidden="1">{"'Sheet1'!$L$16"}</definedName>
    <definedName name="_PA4" hidden="1">{"'Sheet1'!$L$16"}</definedName>
    <definedName name="_PA5" hidden="1">{"'Sheet1'!$L$16"}</definedName>
    <definedName name="_Parse_Out" hidden="1">#REF!</definedName>
    <definedName name="_Pl2" hidden="1">{"'Sheet1'!$L$16"}</definedName>
    <definedName name="_PL3" hidden="1">#REF!</definedName>
    <definedName name="_SCL4" hidden="1">{"'Sheet1'!$L$16"}</definedName>
    <definedName name="_Sort" hidden="1">#REF!</definedName>
    <definedName name="_t2" hidden="1">{"'Sheet1'!$L$16"}</definedName>
    <definedName name="_TK635" hidden="1">{"'Sheet1'!$L$16"}</definedName>
    <definedName name="_Tru21" hidden="1">{"'Sheet1'!$L$16"}</definedName>
    <definedName name="_tt3" hidden="1">{"'Sheet1'!$L$16"}</definedName>
    <definedName name="_vl2" hidden="1">{"'Sheet1'!$L$16"}</definedName>
    <definedName name="aaaaaa" hidden="1">{"'Sheet1'!$L$16"}</definedName>
    <definedName name="aaaaaaaaaa" hidden="1">{"'Sheet1'!$L$16"}</definedName>
    <definedName name="abcdef" hidden="1">{"'Sheet1'!$L$16"}</definedName>
    <definedName name="acb" hidden="1">{"'Sheet1'!$L$16"}</definedName>
    <definedName name="AccessDatabase" hidden="1">"C:\My Documents\LeBinh\Xls\VP Cong ty\FORM.mdb"</definedName>
    <definedName name="ad" hidden="1">{"'Sheet1'!$L$16"}</definedName>
    <definedName name="add" hidden="1">{"'Sheet1'!$L$16"}</definedName>
    <definedName name="ádf" hidden="1">{#N/A,#N/A,FALSE,"Chi tiÆt"}</definedName>
    <definedName name="ADSDDDDDDDDDDDDDDDDDDDDDDD" hidden="1">{"'Sheet1'!$L$16"}</definedName>
    <definedName name="ae" hidden="1">{"'Sheet1'!$L$16"}</definedName>
    <definedName name="anscount" hidden="1">3</definedName>
    <definedName name="Antoan" hidden="1">{"'Sheet1'!$L$16"}</definedName>
    <definedName name="AS2DocOpenMode" hidden="1">"AS2DocumentEdit"</definedName>
    <definedName name="asss" hidden="1">{"'Sheet1'!$L$16"}</definedName>
    <definedName name="ATGT" hidden="1">{"'Sheet1'!$L$16"}</definedName>
    <definedName name="BCBo" hidden="1">{"'Sheet1'!$L$16"}</definedName>
    <definedName name="Bgiang" hidden="1">{"'Sheet1'!$L$16"}</definedName>
    <definedName name="BVTINH" hidden="1">{"'Sheet1'!$L$16"}</definedName>
    <definedName name="CacQuy" hidden="1">{"'Sheet1'!$L$16"}</definedName>
    <definedName name="Capvon" hidden="1">{#N/A,#N/A,FALSE,"Chi tiÆt"}</definedName>
    <definedName name="CBTH" hidden="1">{"'Sheet1'!$L$16"}</definedName>
    <definedName name="Chiettinh" hidden="1">{"'Sheet1'!$L$16"}</definedName>
    <definedName name="chilk" hidden="1">{"'Sheet1'!$L$16"}</definedName>
    <definedName name="chitietbgiang2" hidden="1">{"'Sheet1'!$L$16"}</definedName>
    <definedName name="Coc_60" hidden="1">{"'Sheet1'!$L$16"}</definedName>
    <definedName name="CoCauN" hidden="1">{"'Sheet1'!$L$16"}</definedName>
    <definedName name="Code" hidden="1">#REF!</definedName>
    <definedName name="Cos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CP" hidden="1">#REF!</definedName>
    <definedName name="CTCT1" hidden="1">{"'Sheet1'!$L$16"}</definedName>
    <definedName name="CTCT2" hidden="1">{"'Sheet1'!$L$16"}</definedName>
    <definedName name="d" hidden="1">{"'Sheet1'!$L$16"}</definedName>
    <definedName name="dau" hidden="1">{"'Sheet1'!$L$16"}</definedName>
    <definedName name="dienluc" hidden="1">{#N/A,#N/A,FALSE,"Chi tiÆt"}</definedName>
    <definedName name="Discount" hidden="1">#REF!</definedName>
    <definedName name="DKTINH" hidden="1">{"'Sheet1'!$L$16"}</definedName>
    <definedName name="Dot" hidden="1">{"'Sheet1'!$L$16"}</definedName>
    <definedName name="drf" hidden="1">#REF!</definedName>
    <definedName name="dsh" hidden="1">#REF!</definedName>
    <definedName name="dsjk" hidden="1">{"'Sheet1'!$L$16"}</definedName>
    <definedName name="dt10.1" hidden="1">{"'Sheet1'!$L$16"}</definedName>
    <definedName name="DT12Dluc" hidden="1">{"'Sheet1'!$L$16"}</definedName>
    <definedName name="DT12HoangThach" hidden="1">{"'Sheet1'!$L$16"}</definedName>
    <definedName name="DT17moi" hidden="1">{"'Sheet1'!$L$16"}</definedName>
    <definedName name="DT8.1" hidden="1">{"'Sheet1'!$L$16"}</definedName>
    <definedName name="DT8.2" hidden="1">{"'Sheet1'!$L$16"}</definedName>
    <definedName name="dt9.1" hidden="1">{#N/A,#N/A,FALSE,"Chi tiÆt"}</definedName>
    <definedName name="dtoan" hidden="1">{#N/A,#N/A,FALSE,"Chi tiÆt"}</definedName>
    <definedName name="DUCANH" hidden="1">{"'Sheet1'!$L$16"}</definedName>
    <definedName name="dungkh" hidden="1">{"'Sheet1'!$L$16"}</definedName>
    <definedName name="duongvt" hidden="1">{"'Sheet1'!$L$16"}</definedName>
    <definedName name="DWPRICE" hidden="1">#REF!</definedName>
    <definedName name="e" hidden="1">{"'Sheet1'!$L$16"}</definedName>
    <definedName name="FCode" hidden="1">#REF!</definedName>
    <definedName name="fdfsf" hidden="1">{#N/A,#N/A,FALSE,"Chi tiÆt"}</definedName>
    <definedName name="fdgh" hidden="1">#REF!</definedName>
    <definedName name="fff" hidden="1">{"'Sheet1'!$L$16"}</definedName>
    <definedName name="FGFGH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fgn" hidden="1">#REF!</definedName>
    <definedName name="fr" hidden="1">{"'Sheet1'!$L$16"}</definedName>
    <definedName name="fsd" hidden="1">{"'Sheet1'!$L$16"}</definedName>
    <definedName name="fsdfdsf" hidden="1">{"'Sheet1'!$L$16"}</definedName>
    <definedName name="fsdg" hidden="1">{"'Sheet1'!$L$16"}</definedName>
    <definedName name="gffh" hidden="1">{"'Sheet1'!$L$16"}</definedName>
    <definedName name="ggss" hidden="1">{"'Sheet1'!$L$16"}</definedName>
    <definedName name="ghg" hidden="1">{"'Sheet1'!$L$16"}</definedName>
    <definedName name="h" hidden="1">{"'Sheet1'!$L$16"}</definedName>
    <definedName name="hai" hidden="1">{"'Sheet1'!$L$16"}</definedName>
    <definedName name="HANG" hidden="1">{#N/A,#N/A,FALSE,"Chi tiÆt"}</definedName>
    <definedName name="hfdsh" hidden="1">#REF!</definedName>
    <definedName name="HiddenRows" hidden="1">#REF!</definedName>
    <definedName name="HIHIHIHOI" hidden="1">{"'Sheet1'!$L$16"}</definedName>
    <definedName name="hjjkl" hidden="1">{"'Sheet1'!$L$16"}</definedName>
    <definedName name="HJKL" hidden="1">{"'Sheet1'!$L$16"}</definedName>
    <definedName name="htlm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T" hidden="1">{"'Sheet1'!$L$16"}</definedName>
    <definedName name="HTMT1" hidden="1">{#N/A,#N/A,FALSE,"Sheet1"}</definedName>
    <definedName name="hu" hidden="1">{"'Sheet1'!$L$16"}</definedName>
    <definedName name="hui" hidden="1">{"'Sheet1'!$L$16"}</definedName>
    <definedName name="hung" hidden="1">{"'Sheet1'!$L$16"}</definedName>
    <definedName name="huong" hidden="1">{"'Sheet1'!$L$16"}</definedName>
    <definedName name="HUU" hidden="1">{"'Sheet1'!$L$16"}</definedName>
    <definedName name="huy" hidden="1">{"'Sheet1'!$L$16"}</definedName>
    <definedName name="jlsdghf" hidden="1">{"'Sheet1'!$L$16"}</definedName>
    <definedName name="khongtruotgia" hidden="1">{"'Sheet1'!$L$16"}</definedName>
    <definedName name="kjgjyhb" hidden="1">{"Offgrid",#N/A,FALSE,"OFFGRID";"Region",#N/A,FALSE,"REGION";"Offgrid -2",#N/A,FALSE,"OFFGRID";"WTP",#N/A,FALSE,"WTP";"WTP -2",#N/A,FALSE,"WTP";"Project",#N/A,FALSE,"PROJECT";"Summary -2",#N/A,FALSE,"SUMMARY"}</definedName>
    <definedName name="KLduonggiaods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l2pa1" hidden="1">{"'Sheet1'!$L$16"}</definedName>
    <definedName name="lan" hidden="1">{"'Sheet1'!$L$16"}</definedName>
    <definedName name="langson" hidden="1">{"'Sheet1'!$L$16"}</definedName>
    <definedName name="linh" hidden="1">{"'Sheet1'!$L$16"}</definedName>
    <definedName name="lk" hidden="1">#REF!</definedName>
    <definedName name="luc" hidden="1">{"'Sheet1'!$L$16"}</definedName>
    <definedName name="mai" hidden="1">{"'Sheet1'!$L$16"}</definedName>
    <definedName name="matbang" hidden="1">{"'Sheet1'!$L$16"}</definedName>
    <definedName name="minh" hidden="1">{"'Sheet1'!$L$16"}</definedName>
    <definedName name="mj" hidden="1">{"'Sheet1'!$L$16"}</definedName>
    <definedName name="mo" hidden="1">{"'Sheet1'!$L$16"}</definedName>
    <definedName name="nam" hidden="1">{"'Sheet1'!$L$16"}</definedName>
    <definedName name="nnnn" hidden="1">{"'Sheet1'!$L$16"}</definedName>
    <definedName name="non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OrderTable" hidden="1">#REF!</definedName>
    <definedName name="PA3.1" hidden="1">{"'Sheet1'!$L$16"}</definedName>
    <definedName name="PAIII_" hidden="1">{"'Sheet1'!$L$16"}</definedName>
    <definedName name="PMS" hidden="1">{"'Sheet1'!$L$16"}</definedName>
    <definedName name="_xlnm.Print_Area" localSheetId="0">'PL3 - Giao XP 2026'!$A$1:$AI$136</definedName>
    <definedName name="_xlnm.Print_Titles" localSheetId="0">'PL3 - Giao XP 2026'!$5:$7</definedName>
    <definedName name="ProdForm" hidden="1">#REF!</definedName>
    <definedName name="Product" hidden="1">#REF!</definedName>
    <definedName name="qa" hidden="1">{"'Sheet1'!$L$16"}</definedName>
    <definedName name="QLHT10" hidden="1">{"'Sheet1'!$L$16"}</definedName>
    <definedName name="QQ" hidden="1">{"'Sheet1'!$L$16"}</definedName>
    <definedName name="Ranhxay" hidden="1">{"'Sheet1'!$L$16"}</definedName>
    <definedName name="RCArea" hidden="1">#REF!</definedName>
    <definedName name="RGHGSD" hidden="1">{"'Sheet1'!$L$16"}</definedName>
    <definedName name="sencount" hidden="1">2</definedName>
    <definedName name="sfsd" hidden="1">{"'Sheet1'!$L$16"}</definedName>
    <definedName name="sntk" hidden="1">{"'Sheet1'!$L$16"}</definedName>
    <definedName name="Sosanh2" hidden="1">{"'Sheet1'!$L$16"}</definedName>
    <definedName name="SpecialPrice" hidden="1">#REF!</definedName>
    <definedName name="Spli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ss" hidden="1">#REF!</definedName>
    <definedName name="sum">#REF!,#REF!</definedName>
    <definedName name="tao" hidden="1">{"'Sheet1'!$L$16"}</definedName>
    <definedName name="TatBo" hidden="1">{"'Sheet1'!$L$16"}</definedName>
    <definedName name="TaxTV">10%</definedName>
    <definedName name="TaxXL">5%</definedName>
    <definedName name="tbl_ProdInfo" hidden="1">#REF!</definedName>
    <definedName name="tha" hidden="1">{"'Sheet1'!$L$16"}</definedName>
    <definedName name="thanh" hidden="1">{"'Sheet1'!$L$16"}</definedName>
    <definedName name="THDA_copy" hidden="1">{"'Sheet1'!$L$16"}</definedName>
    <definedName name="THDP" hidden="1">{"'Sheet1'!$L$16"}</definedName>
    <definedName name="THKL" hidden="1">{"'Sheet1'!$L$16"}</definedName>
    <definedName name="thkl2" hidden="1">{"'Sheet1'!$L$16"}</definedName>
    <definedName name="thkl3" hidden="1">{"'Sheet1'!$L$16"}</definedName>
    <definedName name="THKP" hidden="1">{"'Sheet1'!$L$16"}</definedName>
    <definedName name="THKS" hidden="1">{"'Sheet1'!$L$16"}</definedName>
    <definedName name="thu" hidden="1">{"'Sheet1'!$L$16"}</definedName>
    <definedName name="thuy" hidden="1">{"'Sheet1'!$L$16"}</definedName>
    <definedName name="THXD2" hidden="1">{"'Sheet1'!$L$16"}</definedName>
    <definedName name="tk" hidden="1">{"'Sheet1'!$L$16"}</definedName>
    <definedName name="tonghop" hidden="1">{"'Sheet1'!$L$16"}</definedName>
    <definedName name="TPCP" hidden="1">{"'Sheet1'!$L$16"}</definedName>
    <definedName name="ttttt" hidden="1">{"'Sheet1'!$L$16"}</definedName>
    <definedName name="TTTTTTTTT" hidden="1">{"'Sheet1'!$L$16"}</definedName>
    <definedName name="ttttttttttt" hidden="1">{"'Sheet1'!$L$16"}</definedName>
    <definedName name="tuyen" hidden="1">{"'Sheet1'!$L$16"}</definedName>
    <definedName name="tuyennhanh" hidden="1">{"'Sheet1'!$L$16"}</definedName>
    <definedName name="tuynen" hidden="1">{"'Sheet1'!$L$16"}</definedName>
    <definedName name="ư" hidden="1">{"'Sheet1'!$L$16"}</definedName>
    <definedName name="uhbbb" hidden="1">#REF!</definedName>
    <definedName name="UP">#REF!,#REF!,#REF!,#REF!,#REF!,#REF!,#REF!,#REF!,#REF!,#REF!,#REF!</definedName>
    <definedName name="VATM" hidden="1">{"'Sheet1'!$L$16"}</definedName>
    <definedName name="vcbo1" hidden="1">{"'Sheet1'!$L$16"}</definedName>
    <definedName name="vcoto" hidden="1">{"'Sheet1'!$L$16"}</definedName>
    <definedName name="Viet" hidden="1">{"'Sheet1'!$L$16"}</definedName>
    <definedName name="vlct" hidden="1">{"'Sheet1'!$L$16"}</definedName>
    <definedName name="vvv" hidden="1">{"'Sheet1'!$L$16"}</definedName>
    <definedName name="wr" hidden="1">{#N/A,#N/A,FALSE,"Chi tiÆt"}</definedName>
    <definedName name="wrn.aaa." hidden="1">{#N/A,#N/A,FALSE,"Sheet1";#N/A,#N/A,FALSE,"Sheet1";#N/A,#N/A,FALSE,"Sheet1"}</definedName>
    <definedName name="wrn.chi._.tiÆt." hidden="1">{#N/A,#N/A,FALSE,"Chi tiÆt"}</definedName>
    <definedName name="wrn.cong." hidden="1">{#N/A,#N/A,FALSE,"Sheet1"}</definedName>
    <definedName name="wrn.ONGCDOC.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STATDOC." hidden="1">{#N/A,#N/A,FALSE,"RECONC'L";#N/A,#N/A,FALSE,"WORKCAP";#N/A,#N/A,FALSE,"RECONC'L";#N/A,#N/A,FALSE,"ACCRUAL";#N/A,#N/A,FALSE,"DEBTOR";#N/A,#N/A,FALSE,"ADMALLOC"}</definedName>
    <definedName name="wrn.vd." hidden="1">{#N/A,#N/A,TRUE,"BT M200 da 10x20"}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APHUONG_UPPER">[1]LIST!$C$2:$C$127</definedName>
    <definedName name="xls" hidden="1">{"'Sheet1'!$L$16"}</definedName>
    <definedName name="xlttbninh" hidden="1">{"'Sheet1'!$L$16"}</definedName>
    <definedName name="ZXzX" hidden="1">{"'Sheet1'!$L$16"}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36" i="1" l="1"/>
  <c r="S136" i="1"/>
  <c r="C136" i="1"/>
  <c r="D136" i="1" s="1"/>
  <c r="E136" i="1"/>
  <c r="Y135" i="1"/>
  <c r="S135" i="1"/>
  <c r="C135" i="1"/>
  <c r="D135" i="1" s="1"/>
  <c r="L135" i="1"/>
  <c r="E135" i="1"/>
  <c r="S134" i="1"/>
  <c r="E134" i="1"/>
  <c r="C134" i="1" s="1"/>
  <c r="D134" i="1" s="1"/>
  <c r="Y133" i="1"/>
  <c r="S133" i="1"/>
  <c r="L133" i="1"/>
  <c r="E133" i="1"/>
  <c r="C133" i="1"/>
  <c r="D133" i="1" s="1"/>
  <c r="S132" i="1"/>
  <c r="E132" i="1"/>
  <c r="C132" i="1" s="1"/>
  <c r="D132" i="1" s="1"/>
  <c r="Y131" i="1"/>
  <c r="L131" i="1"/>
  <c r="E131" i="1"/>
  <c r="C131" i="1" s="1"/>
  <c r="D131" i="1" s="1"/>
  <c r="Y130" i="1"/>
  <c r="S130" i="1"/>
  <c r="E130" i="1"/>
  <c r="C130" i="1" s="1"/>
  <c r="D130" i="1" s="1"/>
  <c r="Y129" i="1"/>
  <c r="L129" i="1"/>
  <c r="E129" i="1"/>
  <c r="C129" i="1"/>
  <c r="D129" i="1" s="1"/>
  <c r="S128" i="1"/>
  <c r="L128" i="1"/>
  <c r="E128" i="1"/>
  <c r="C128" i="1" s="1"/>
  <c r="D128" i="1" s="1"/>
  <c r="Y127" i="1"/>
  <c r="S127" i="1"/>
  <c r="L127" i="1"/>
  <c r="E127" i="1"/>
  <c r="C127" i="1" s="1"/>
  <c r="D127" i="1" s="1"/>
  <c r="Y126" i="1"/>
  <c r="S126" i="1"/>
  <c r="E126" i="1"/>
  <c r="C126" i="1" s="1"/>
  <c r="D126" i="1" s="1"/>
  <c r="Y125" i="1"/>
  <c r="L125" i="1"/>
  <c r="E125" i="1"/>
  <c r="C125" i="1" s="1"/>
  <c r="D125" i="1" s="1"/>
  <c r="Y124" i="1"/>
  <c r="S124" i="1"/>
  <c r="E124" i="1"/>
  <c r="Y123" i="1"/>
  <c r="S123" i="1"/>
  <c r="L123" i="1"/>
  <c r="E123" i="1"/>
  <c r="C123" i="1" s="1"/>
  <c r="D123" i="1" s="1"/>
  <c r="Y122" i="1"/>
  <c r="S122" i="1"/>
  <c r="E122" i="1"/>
  <c r="Y121" i="1"/>
  <c r="L121" i="1"/>
  <c r="E121" i="1"/>
  <c r="C121" i="1" s="1"/>
  <c r="D121" i="1" s="1"/>
  <c r="Y120" i="1"/>
  <c r="S120" i="1"/>
  <c r="L120" i="1"/>
  <c r="E120" i="1"/>
  <c r="Y119" i="1"/>
  <c r="L119" i="1"/>
  <c r="E119" i="1"/>
  <c r="C119" i="1" s="1"/>
  <c r="D119" i="1" s="1"/>
  <c r="Y118" i="1"/>
  <c r="S118" i="1"/>
  <c r="E118" i="1"/>
  <c r="Y117" i="1"/>
  <c r="L117" i="1"/>
  <c r="E117" i="1"/>
  <c r="C117" i="1" s="1"/>
  <c r="D117" i="1" s="1"/>
  <c r="Y116" i="1"/>
  <c r="S116" i="1"/>
  <c r="E116" i="1"/>
  <c r="Y115" i="1"/>
  <c r="S115" i="1"/>
  <c r="L115" i="1"/>
  <c r="E115" i="1"/>
  <c r="C115" i="1" s="1"/>
  <c r="D115" i="1" s="1"/>
  <c r="Y114" i="1"/>
  <c r="S114" i="1"/>
  <c r="E114" i="1"/>
  <c r="Y113" i="1"/>
  <c r="L113" i="1"/>
  <c r="E113" i="1"/>
  <c r="C113" i="1" s="1"/>
  <c r="D113" i="1" s="1"/>
  <c r="Y112" i="1"/>
  <c r="S112" i="1"/>
  <c r="L112" i="1"/>
  <c r="E112" i="1"/>
  <c r="Y111" i="1"/>
  <c r="L111" i="1"/>
  <c r="E111" i="1"/>
  <c r="C111" i="1" s="1"/>
  <c r="D111" i="1" s="1"/>
  <c r="Y110" i="1"/>
  <c r="S110" i="1"/>
  <c r="E110" i="1"/>
  <c r="C110" i="1" s="1"/>
  <c r="D110" i="1" s="1"/>
  <c r="Y109" i="1"/>
  <c r="L109" i="1"/>
  <c r="E109" i="1"/>
  <c r="C109" i="1" s="1"/>
  <c r="D109" i="1" s="1"/>
  <c r="Y108" i="1"/>
  <c r="S108" i="1"/>
  <c r="E108" i="1"/>
  <c r="C108" i="1" s="1"/>
  <c r="D108" i="1" s="1"/>
  <c r="Y107" i="1"/>
  <c r="S107" i="1"/>
  <c r="C107" i="1"/>
  <c r="D107" i="1" s="1"/>
  <c r="L107" i="1"/>
  <c r="E107" i="1"/>
  <c r="Y106" i="1"/>
  <c r="S106" i="1"/>
  <c r="E106" i="1"/>
  <c r="Y105" i="1"/>
  <c r="L105" i="1"/>
  <c r="E105" i="1"/>
  <c r="C105" i="1" s="1"/>
  <c r="D105" i="1" s="1"/>
  <c r="Y104" i="1"/>
  <c r="S104" i="1"/>
  <c r="L104" i="1"/>
  <c r="E104" i="1"/>
  <c r="Y103" i="1"/>
  <c r="L103" i="1"/>
  <c r="E103" i="1"/>
  <c r="C103" i="1" s="1"/>
  <c r="D103" i="1" s="1"/>
  <c r="Y102" i="1"/>
  <c r="S102" i="1"/>
  <c r="E102" i="1"/>
  <c r="C102" i="1" s="1"/>
  <c r="D102" i="1" s="1"/>
  <c r="Y101" i="1"/>
  <c r="L101" i="1"/>
  <c r="E101" i="1"/>
  <c r="C101" i="1" s="1"/>
  <c r="D101" i="1" s="1"/>
  <c r="Y100" i="1"/>
  <c r="S100" i="1"/>
  <c r="E100" i="1"/>
  <c r="C100" i="1" s="1"/>
  <c r="D100" i="1" s="1"/>
  <c r="Y99" i="1"/>
  <c r="S99" i="1"/>
  <c r="C99" i="1"/>
  <c r="D99" i="1" s="1"/>
  <c r="L99" i="1"/>
  <c r="E99" i="1"/>
  <c r="Y98" i="1"/>
  <c r="S98" i="1"/>
  <c r="E98" i="1"/>
  <c r="Y97" i="1"/>
  <c r="L97" i="1"/>
  <c r="E97" i="1"/>
  <c r="C97" i="1" s="1"/>
  <c r="D97" i="1" s="1"/>
  <c r="Y96" i="1"/>
  <c r="S96" i="1"/>
  <c r="L96" i="1"/>
  <c r="E96" i="1"/>
  <c r="Y95" i="1"/>
  <c r="L95" i="1"/>
  <c r="E95" i="1"/>
  <c r="C95" i="1" s="1"/>
  <c r="D95" i="1" s="1"/>
  <c r="Y94" i="1"/>
  <c r="S94" i="1"/>
  <c r="E94" i="1"/>
  <c r="Y93" i="1"/>
  <c r="L93" i="1"/>
  <c r="E93" i="1"/>
  <c r="C93" i="1" s="1"/>
  <c r="D93" i="1" s="1"/>
  <c r="Y92" i="1"/>
  <c r="S92" i="1"/>
  <c r="E92" i="1"/>
  <c r="C92" i="1" s="1"/>
  <c r="D92" i="1" s="1"/>
  <c r="Y91" i="1"/>
  <c r="S91" i="1"/>
  <c r="L91" i="1"/>
  <c r="E91" i="1"/>
  <c r="C91" i="1" s="1"/>
  <c r="D91" i="1" s="1"/>
  <c r="Y90" i="1"/>
  <c r="S90" i="1"/>
  <c r="E90" i="1"/>
  <c r="Y89" i="1"/>
  <c r="L89" i="1"/>
  <c r="E89" i="1"/>
  <c r="C89" i="1" s="1"/>
  <c r="D89" i="1" s="1"/>
  <c r="Y88" i="1"/>
  <c r="S88" i="1"/>
  <c r="L88" i="1"/>
  <c r="E88" i="1"/>
  <c r="Y87" i="1"/>
  <c r="L87" i="1"/>
  <c r="E87" i="1"/>
  <c r="C87" i="1" s="1"/>
  <c r="D87" i="1" s="1"/>
  <c r="Y86" i="1"/>
  <c r="S86" i="1"/>
  <c r="E86" i="1"/>
  <c r="Y85" i="1"/>
  <c r="L85" i="1"/>
  <c r="E85" i="1"/>
  <c r="C85" i="1" s="1"/>
  <c r="D85" i="1" s="1"/>
  <c r="Y84" i="1"/>
  <c r="S84" i="1"/>
  <c r="E84" i="1"/>
  <c r="C84" i="1" s="1"/>
  <c r="D84" i="1" s="1"/>
  <c r="Y83" i="1"/>
  <c r="S83" i="1"/>
  <c r="L83" i="1"/>
  <c r="E83" i="1"/>
  <c r="C83" i="1" s="1"/>
  <c r="D83" i="1" s="1"/>
  <c r="Y82" i="1"/>
  <c r="S82" i="1"/>
  <c r="E82" i="1"/>
  <c r="Y81" i="1"/>
  <c r="L81" i="1"/>
  <c r="E81" i="1"/>
  <c r="C81" i="1" s="1"/>
  <c r="D81" i="1" s="1"/>
  <c r="Y80" i="1"/>
  <c r="S80" i="1"/>
  <c r="L80" i="1"/>
  <c r="E80" i="1"/>
  <c r="C80" i="1" s="1"/>
  <c r="D80" i="1" s="1"/>
  <c r="Y79" i="1"/>
  <c r="S79" i="1"/>
  <c r="L79" i="1"/>
  <c r="E79" i="1"/>
  <c r="C79" i="1" s="1"/>
  <c r="D79" i="1" s="1"/>
  <c r="Y78" i="1"/>
  <c r="E78" i="1"/>
  <c r="C78" i="1" s="1"/>
  <c r="D78" i="1" s="1"/>
  <c r="Y77" i="1"/>
  <c r="S77" i="1"/>
  <c r="N61" i="1"/>
  <c r="L77" i="1"/>
  <c r="E77" i="1"/>
  <c r="L76" i="1"/>
  <c r="E76" i="1"/>
  <c r="C76" i="1" s="1"/>
  <c r="D76" i="1"/>
  <c r="Y75" i="1"/>
  <c r="C75" i="1"/>
  <c r="D75" i="1" s="1"/>
  <c r="S75" i="1"/>
  <c r="E75" i="1"/>
  <c r="S74" i="1"/>
  <c r="L74" i="1"/>
  <c r="E74" i="1"/>
  <c r="C74" i="1" s="1"/>
  <c r="D74" i="1" s="1"/>
  <c r="Y73" i="1"/>
  <c r="E73" i="1"/>
  <c r="C73" i="1" s="1"/>
  <c r="D73" i="1" s="1"/>
  <c r="Y72" i="1"/>
  <c r="S72" i="1"/>
  <c r="E72" i="1"/>
  <c r="C72" i="1" s="1"/>
  <c r="D72" i="1" s="1"/>
  <c r="L71" i="1"/>
  <c r="E71" i="1"/>
  <c r="C71" i="1" s="1"/>
  <c r="D71" i="1" s="1"/>
  <c r="Y70" i="1"/>
  <c r="L70" i="1"/>
  <c r="E70" i="1"/>
  <c r="C70" i="1" s="1"/>
  <c r="D70" i="1" s="1"/>
  <c r="T61" i="1"/>
  <c r="S69" i="1"/>
  <c r="L69" i="1"/>
  <c r="E69" i="1"/>
  <c r="C69" i="1" s="1"/>
  <c r="D69" i="1" s="1"/>
  <c r="S68" i="1"/>
  <c r="I61" i="1"/>
  <c r="Y67" i="1"/>
  <c r="S67" i="1"/>
  <c r="E67" i="1"/>
  <c r="C67" i="1" s="1"/>
  <c r="D67" i="1" s="1"/>
  <c r="AD61" i="1"/>
  <c r="Y66" i="1"/>
  <c r="E66" i="1"/>
  <c r="C66" i="1" s="1"/>
  <c r="D66" i="1" s="1"/>
  <c r="Y65" i="1"/>
  <c r="L65" i="1"/>
  <c r="E65" i="1"/>
  <c r="C65" i="1" s="1"/>
  <c r="D65" i="1" s="1"/>
  <c r="U61" i="1"/>
  <c r="L64" i="1"/>
  <c r="E64" i="1"/>
  <c r="C64" i="1" s="1"/>
  <c r="D64" i="1" s="1"/>
  <c r="AA61" i="1"/>
  <c r="S63" i="1"/>
  <c r="O61" i="1"/>
  <c r="E63" i="1"/>
  <c r="C63" i="1" s="1"/>
  <c r="D63" i="1" s="1"/>
  <c r="E62" i="1"/>
  <c r="AI61" i="1"/>
  <c r="AH61" i="1"/>
  <c r="AG61" i="1"/>
  <c r="AF61" i="1"/>
  <c r="AE61" i="1"/>
  <c r="Z61" i="1"/>
  <c r="X61" i="1"/>
  <c r="R61" i="1"/>
  <c r="M61" i="1"/>
  <c r="G61" i="1"/>
  <c r="F61" i="1"/>
  <c r="Y60" i="1"/>
  <c r="L60" i="1"/>
  <c r="E60" i="1"/>
  <c r="C60" i="1" s="1"/>
  <c r="D60" i="1" s="1"/>
  <c r="Y59" i="1"/>
  <c r="S59" i="1"/>
  <c r="L59" i="1"/>
  <c r="Y58" i="1"/>
  <c r="L58" i="1"/>
  <c r="E58" i="1"/>
  <c r="C58" i="1" s="1"/>
  <c r="D58" i="1" s="1"/>
  <c r="Y57" i="1"/>
  <c r="S57" i="1"/>
  <c r="L57" i="1"/>
  <c r="E57" i="1"/>
  <c r="C57" i="1" s="1"/>
  <c r="D57" i="1" s="1"/>
  <c r="Y56" i="1"/>
  <c r="L56" i="1"/>
  <c r="Y55" i="1"/>
  <c r="S55" i="1"/>
  <c r="L55" i="1"/>
  <c r="Y54" i="1"/>
  <c r="S54" i="1"/>
  <c r="L54" i="1"/>
  <c r="E54" i="1"/>
  <c r="C54" i="1" s="1"/>
  <c r="D54" i="1" s="1"/>
  <c r="Y53" i="1"/>
  <c r="S53" i="1"/>
  <c r="L53" i="1"/>
  <c r="Y52" i="1"/>
  <c r="S52" i="1"/>
  <c r="L52" i="1"/>
  <c r="Y51" i="1"/>
  <c r="S51" i="1"/>
  <c r="L51" i="1"/>
  <c r="Y50" i="1"/>
  <c r="S50" i="1"/>
  <c r="L50" i="1"/>
  <c r="Y49" i="1"/>
  <c r="S49" i="1"/>
  <c r="L49" i="1"/>
  <c r="E49" i="1"/>
  <c r="C49" i="1"/>
  <c r="D49" i="1" s="1"/>
  <c r="Y48" i="1"/>
  <c r="S48" i="1"/>
  <c r="L48" i="1"/>
  <c r="Y47" i="1"/>
  <c r="S47" i="1"/>
  <c r="N9" i="1"/>
  <c r="L47" i="1"/>
  <c r="AE9" i="1"/>
  <c r="Y46" i="1"/>
  <c r="S46" i="1"/>
  <c r="L46" i="1"/>
  <c r="E46" i="1"/>
  <c r="C46" i="1" s="1"/>
  <c r="D46" i="1" s="1"/>
  <c r="Y45" i="1"/>
  <c r="S45" i="1"/>
  <c r="L45" i="1"/>
  <c r="E45" i="1"/>
  <c r="C45" i="1" s="1"/>
  <c r="D45" i="1" s="1"/>
  <c r="Y44" i="1"/>
  <c r="S44" i="1"/>
  <c r="L44" i="1"/>
  <c r="E44" i="1"/>
  <c r="C44" i="1" s="1"/>
  <c r="D44" i="1" s="1"/>
  <c r="Y43" i="1"/>
  <c r="S43" i="1"/>
  <c r="L43" i="1"/>
  <c r="E43" i="1"/>
  <c r="C43" i="1" s="1"/>
  <c r="D43" i="1" s="1"/>
  <c r="Y42" i="1"/>
  <c r="S42" i="1"/>
  <c r="L42" i="1"/>
  <c r="E42" i="1"/>
  <c r="C42" i="1" s="1"/>
  <c r="D42" i="1" s="1"/>
  <c r="Y41" i="1"/>
  <c r="S41" i="1"/>
  <c r="L41" i="1"/>
  <c r="E41" i="1"/>
  <c r="C41" i="1" s="1"/>
  <c r="D41" i="1" s="1"/>
  <c r="Y40" i="1"/>
  <c r="S40" i="1"/>
  <c r="L40" i="1"/>
  <c r="E40" i="1"/>
  <c r="C40" i="1" s="1"/>
  <c r="D40" i="1" s="1"/>
  <c r="Y39" i="1"/>
  <c r="S39" i="1"/>
  <c r="L39" i="1"/>
  <c r="E39" i="1"/>
  <c r="C39" i="1" s="1"/>
  <c r="D39" i="1" s="1"/>
  <c r="Y38" i="1"/>
  <c r="S38" i="1"/>
  <c r="L38" i="1"/>
  <c r="E38" i="1"/>
  <c r="C38" i="1" s="1"/>
  <c r="D38" i="1" s="1"/>
  <c r="Y37" i="1"/>
  <c r="S37" i="1"/>
  <c r="L37" i="1"/>
  <c r="E37" i="1"/>
  <c r="C37" i="1" s="1"/>
  <c r="D37" i="1" s="1"/>
  <c r="Y36" i="1"/>
  <c r="S36" i="1"/>
  <c r="L36" i="1"/>
  <c r="E36" i="1"/>
  <c r="C36" i="1" s="1"/>
  <c r="D36" i="1" s="1"/>
  <c r="Y35" i="1"/>
  <c r="S35" i="1"/>
  <c r="L35" i="1"/>
  <c r="E35" i="1"/>
  <c r="C35" i="1" s="1"/>
  <c r="D35" i="1" s="1"/>
  <c r="Y34" i="1"/>
  <c r="S34" i="1"/>
  <c r="L34" i="1"/>
  <c r="E34" i="1"/>
  <c r="C34" i="1" s="1"/>
  <c r="D34" i="1" s="1"/>
  <c r="Y33" i="1"/>
  <c r="S33" i="1"/>
  <c r="L33" i="1"/>
  <c r="E33" i="1"/>
  <c r="C33" i="1" s="1"/>
  <c r="D33" i="1" s="1"/>
  <c r="Y32" i="1"/>
  <c r="S32" i="1"/>
  <c r="L32" i="1"/>
  <c r="E32" i="1"/>
  <c r="C32" i="1" s="1"/>
  <c r="D32" i="1" s="1"/>
  <c r="Y31" i="1"/>
  <c r="S31" i="1"/>
  <c r="L31" i="1"/>
  <c r="E31" i="1"/>
  <c r="C31" i="1" s="1"/>
  <c r="D31" i="1" s="1"/>
  <c r="Y30" i="1"/>
  <c r="S30" i="1"/>
  <c r="L30" i="1"/>
  <c r="E30" i="1"/>
  <c r="Y29" i="1"/>
  <c r="S29" i="1"/>
  <c r="L29" i="1"/>
  <c r="E29" i="1"/>
  <c r="Y28" i="1"/>
  <c r="S28" i="1"/>
  <c r="L28" i="1"/>
  <c r="E28" i="1"/>
  <c r="C28" i="1" s="1"/>
  <c r="D28" i="1" s="1"/>
  <c r="Y27" i="1"/>
  <c r="S27" i="1"/>
  <c r="L27" i="1"/>
  <c r="E27" i="1"/>
  <c r="Y26" i="1"/>
  <c r="S26" i="1"/>
  <c r="L26" i="1"/>
  <c r="E26" i="1"/>
  <c r="Y25" i="1"/>
  <c r="S25" i="1"/>
  <c r="L25" i="1"/>
  <c r="E25" i="1"/>
  <c r="Y24" i="1"/>
  <c r="S24" i="1"/>
  <c r="L24" i="1"/>
  <c r="E24" i="1"/>
  <c r="Y23" i="1"/>
  <c r="S23" i="1"/>
  <c r="L23" i="1"/>
  <c r="E23" i="1"/>
  <c r="Y22" i="1"/>
  <c r="S22" i="1"/>
  <c r="L22" i="1"/>
  <c r="E22" i="1"/>
  <c r="Y21" i="1"/>
  <c r="S21" i="1"/>
  <c r="L21" i="1"/>
  <c r="E21" i="1"/>
  <c r="C21" i="1" s="1"/>
  <c r="D21" i="1" s="1"/>
  <c r="Y20" i="1"/>
  <c r="S20" i="1"/>
  <c r="L20" i="1"/>
  <c r="E20" i="1"/>
  <c r="Y19" i="1"/>
  <c r="S19" i="1"/>
  <c r="L19" i="1"/>
  <c r="E19" i="1"/>
  <c r="C19" i="1" s="1"/>
  <c r="D19" i="1" s="1"/>
  <c r="Y18" i="1"/>
  <c r="S18" i="1"/>
  <c r="L18" i="1"/>
  <c r="E18" i="1"/>
  <c r="C18" i="1" s="1"/>
  <c r="D18" i="1" s="1"/>
  <c r="Y17" i="1"/>
  <c r="S17" i="1"/>
  <c r="L17" i="1"/>
  <c r="E17" i="1"/>
  <c r="Y16" i="1"/>
  <c r="S16" i="1"/>
  <c r="L16" i="1"/>
  <c r="E16" i="1"/>
  <c r="Y15" i="1"/>
  <c r="S15" i="1"/>
  <c r="L15" i="1"/>
  <c r="E15" i="1"/>
  <c r="Y14" i="1"/>
  <c r="S14" i="1"/>
  <c r="L14" i="1"/>
  <c r="E14" i="1"/>
  <c r="Y13" i="1"/>
  <c r="S13" i="1"/>
  <c r="L13" i="1"/>
  <c r="E13" i="1"/>
  <c r="Y12" i="1"/>
  <c r="S12" i="1"/>
  <c r="L12" i="1"/>
  <c r="E12" i="1"/>
  <c r="AA9" i="1"/>
  <c r="AA8" i="1" s="1"/>
  <c r="Y11" i="1"/>
  <c r="S11" i="1"/>
  <c r="L11" i="1"/>
  <c r="AD9" i="1"/>
  <c r="AD8" i="1" s="1"/>
  <c r="AC9" i="1"/>
  <c r="AB9" i="1"/>
  <c r="Z9" i="1"/>
  <c r="Z8" i="1" s="1"/>
  <c r="Z3" i="1" s="1"/>
  <c r="W9" i="1"/>
  <c r="Y10" i="1"/>
  <c r="U9" i="1"/>
  <c r="T9" i="1"/>
  <c r="Q9" i="1"/>
  <c r="O9" i="1"/>
  <c r="M9" i="1"/>
  <c r="M8" i="1" s="1"/>
  <c r="M3" i="1" s="1"/>
  <c r="K9" i="1"/>
  <c r="L10" i="1"/>
  <c r="I9" i="1"/>
  <c r="H9" i="1"/>
  <c r="E10" i="1"/>
  <c r="AI9" i="1"/>
  <c r="AH9" i="1"/>
  <c r="AH8" i="1" s="1"/>
  <c r="AG9" i="1"/>
  <c r="AF9" i="1"/>
  <c r="AF8" i="1" s="1"/>
  <c r="X9" i="1"/>
  <c r="X8" i="1" s="1"/>
  <c r="AI8" i="1"/>
  <c r="AE8" i="1"/>
  <c r="E4" i="1"/>
  <c r="Y9" i="1" l="1"/>
  <c r="AG8" i="1"/>
  <c r="O8" i="1"/>
  <c r="O3" i="1" s="1"/>
  <c r="C15" i="1"/>
  <c r="D15" i="1" s="1"/>
  <c r="C16" i="1"/>
  <c r="D16" i="1" s="1"/>
  <c r="C27" i="1"/>
  <c r="D27" i="1" s="1"/>
  <c r="C62" i="1"/>
  <c r="L9" i="1"/>
  <c r="C17" i="1"/>
  <c r="D17" i="1" s="1"/>
  <c r="C29" i="1"/>
  <c r="D29" i="1" s="1"/>
  <c r="C30" i="1"/>
  <c r="D30" i="1" s="1"/>
  <c r="C20" i="1"/>
  <c r="D20" i="1" s="1"/>
  <c r="S10" i="1"/>
  <c r="P9" i="1"/>
  <c r="C22" i="1"/>
  <c r="D22" i="1" s="1"/>
  <c r="T8" i="1"/>
  <c r="T3" i="1" s="1"/>
  <c r="U8" i="1"/>
  <c r="C23" i="1"/>
  <c r="D23" i="1" s="1"/>
  <c r="C24" i="1"/>
  <c r="D24" i="1" s="1"/>
  <c r="N8" i="1"/>
  <c r="N3" i="1" s="1"/>
  <c r="J9" i="1"/>
  <c r="E11" i="1"/>
  <c r="C11" i="1" s="1"/>
  <c r="D11" i="1" s="1"/>
  <c r="G9" i="1"/>
  <c r="G8" i="1" s="1"/>
  <c r="G3" i="1" s="1"/>
  <c r="C12" i="1"/>
  <c r="D12" i="1" s="1"/>
  <c r="C10" i="1"/>
  <c r="C4" i="1"/>
  <c r="D4" i="1" s="1"/>
  <c r="V9" i="1"/>
  <c r="I8" i="1"/>
  <c r="I3" i="1" s="1"/>
  <c r="C13" i="1"/>
  <c r="D13" i="1" s="1"/>
  <c r="C14" i="1"/>
  <c r="D14" i="1" s="1"/>
  <c r="C25" i="1"/>
  <c r="D25" i="1" s="1"/>
  <c r="C26" i="1"/>
  <c r="D26" i="1" s="1"/>
  <c r="C104" i="1"/>
  <c r="D104" i="1" s="1"/>
  <c r="C112" i="1"/>
  <c r="D112" i="1" s="1"/>
  <c r="F9" i="1"/>
  <c r="F8" i="1" s="1"/>
  <c r="F3" i="1" s="1"/>
  <c r="R9" i="1"/>
  <c r="R8" i="1" s="1"/>
  <c r="H61" i="1"/>
  <c r="H8" i="1" s="1"/>
  <c r="H3" i="1" s="1"/>
  <c r="Y62" i="1"/>
  <c r="V61" i="1"/>
  <c r="S64" i="1"/>
  <c r="L66" i="1"/>
  <c r="E68" i="1"/>
  <c r="C68" i="1" s="1"/>
  <c r="D68" i="1" s="1"/>
  <c r="L82" i="1"/>
  <c r="L90" i="1"/>
  <c r="L98" i="1"/>
  <c r="L106" i="1"/>
  <c r="L114" i="1"/>
  <c r="L122" i="1"/>
  <c r="L132" i="1"/>
  <c r="Y134" i="1"/>
  <c r="E50" i="1"/>
  <c r="C50" i="1" s="1"/>
  <c r="D50" i="1" s="1"/>
  <c r="W61" i="1"/>
  <c r="W8" i="1" s="1"/>
  <c r="Q61" i="1"/>
  <c r="Q8" i="1" s="1"/>
  <c r="E53" i="1"/>
  <c r="C53" i="1" s="1"/>
  <c r="D53" i="1" s="1"/>
  <c r="S56" i="1"/>
  <c r="L62" i="1"/>
  <c r="J61" i="1"/>
  <c r="S87" i="1"/>
  <c r="S95" i="1"/>
  <c r="S103" i="1"/>
  <c r="S111" i="1"/>
  <c r="C116" i="1"/>
  <c r="D116" i="1" s="1"/>
  <c r="S119" i="1"/>
  <c r="C124" i="1"/>
  <c r="D124" i="1" s="1"/>
  <c r="L134" i="1"/>
  <c r="S62" i="1"/>
  <c r="P61" i="1"/>
  <c r="C88" i="1"/>
  <c r="D88" i="1" s="1"/>
  <c r="E59" i="1"/>
  <c r="C59" i="1" s="1"/>
  <c r="D59" i="1" s="1"/>
  <c r="K61" i="1"/>
  <c r="K8" i="1" s="1"/>
  <c r="Y63" i="1"/>
  <c r="S65" i="1"/>
  <c r="L67" i="1"/>
  <c r="Y68" i="1"/>
  <c r="S70" i="1"/>
  <c r="L72" i="1"/>
  <c r="L84" i="1"/>
  <c r="L92" i="1"/>
  <c r="L100" i="1"/>
  <c r="L108" i="1"/>
  <c r="L116" i="1"/>
  <c r="L124" i="1"/>
  <c r="S129" i="1"/>
  <c r="E56" i="1"/>
  <c r="C56" i="1" s="1"/>
  <c r="D56" i="1" s="1"/>
  <c r="C86" i="1"/>
  <c r="D86" i="1" s="1"/>
  <c r="E51" i="1"/>
  <c r="C51" i="1" s="1"/>
  <c r="D51" i="1" s="1"/>
  <c r="S60" i="1"/>
  <c r="AC61" i="1"/>
  <c r="AC8" i="1" s="1"/>
  <c r="L63" i="1"/>
  <c r="Y64" i="1"/>
  <c r="S66" i="1"/>
  <c r="L68" i="1"/>
  <c r="S81" i="1"/>
  <c r="S89" i="1"/>
  <c r="S97" i="1"/>
  <c r="S105" i="1"/>
  <c r="S113" i="1"/>
  <c r="C118" i="1"/>
  <c r="D118" i="1" s="1"/>
  <c r="S121" i="1"/>
  <c r="S131" i="1"/>
  <c r="E48" i="1"/>
  <c r="C48" i="1" s="1"/>
  <c r="D48" i="1" s="1"/>
  <c r="AB61" i="1"/>
  <c r="AB8" i="1" s="1"/>
  <c r="C94" i="1"/>
  <c r="D94" i="1" s="1"/>
  <c r="Y69" i="1"/>
  <c r="S71" i="1"/>
  <c r="L73" i="1"/>
  <c r="Y74" i="1"/>
  <c r="S76" i="1"/>
  <c r="L78" i="1"/>
  <c r="L86" i="1"/>
  <c r="L94" i="1"/>
  <c r="L102" i="1"/>
  <c r="L110" i="1"/>
  <c r="L118" i="1"/>
  <c r="L126" i="1"/>
  <c r="Y128" i="1"/>
  <c r="C96" i="1"/>
  <c r="D96" i="1" s="1"/>
  <c r="C77" i="1"/>
  <c r="D77" i="1" s="1"/>
  <c r="C120" i="1"/>
  <c r="D120" i="1" s="1"/>
  <c r="E52" i="1"/>
  <c r="C52" i="1" s="1"/>
  <c r="D52" i="1" s="1"/>
  <c r="S58" i="1"/>
  <c r="C82" i="1"/>
  <c r="D82" i="1" s="1"/>
  <c r="C90" i="1"/>
  <c r="D90" i="1" s="1"/>
  <c r="C98" i="1"/>
  <c r="D98" i="1" s="1"/>
  <c r="C106" i="1"/>
  <c r="D106" i="1" s="1"/>
  <c r="L130" i="1"/>
  <c r="Y132" i="1"/>
  <c r="E47" i="1"/>
  <c r="C47" i="1" s="1"/>
  <c r="D47" i="1" s="1"/>
  <c r="E55" i="1"/>
  <c r="C55" i="1" s="1"/>
  <c r="D55" i="1" s="1"/>
  <c r="Y71" i="1"/>
  <c r="S73" i="1"/>
  <c r="L75" i="1"/>
  <c r="Y76" i="1"/>
  <c r="S78" i="1"/>
  <c r="S85" i="1"/>
  <c r="S93" i="1"/>
  <c r="S101" i="1"/>
  <c r="S109" i="1"/>
  <c r="C114" i="1"/>
  <c r="D114" i="1" s="1"/>
  <c r="S117" i="1"/>
  <c r="C122" i="1"/>
  <c r="D122" i="1" s="1"/>
  <c r="S125" i="1"/>
  <c r="L136" i="1"/>
  <c r="P8" i="1" l="1"/>
  <c r="P3" i="1" s="1"/>
  <c r="E9" i="1"/>
  <c r="S61" i="1"/>
  <c r="L61" i="1"/>
  <c r="L8" i="1" s="1"/>
  <c r="C61" i="1"/>
  <c r="D62" i="1"/>
  <c r="D61" i="1" s="1"/>
  <c r="E61" i="1"/>
  <c r="E8" i="1" s="1"/>
  <c r="Y61" i="1"/>
  <c r="Y8" i="1" s="1"/>
  <c r="J8" i="1"/>
  <c r="J3" i="1" s="1"/>
  <c r="V8" i="1"/>
  <c r="V3" i="1" s="1"/>
  <c r="C9" i="1"/>
  <c r="D10" i="1"/>
  <c r="D9" i="1" s="1"/>
  <c r="D8" i="1" s="1"/>
  <c r="S9" i="1"/>
  <c r="S8" i="1" l="1"/>
  <c r="C8" i="1"/>
  <c r="E3" i="1"/>
</calcChain>
</file>

<file path=xl/sharedStrings.xml><?xml version="1.0" encoding="utf-8"?>
<sst xmlns="http://schemas.openxmlformats.org/spreadsheetml/2006/main" count="302" uniqueCount="297">
  <si>
    <t>PHỤ LỤC 3. PHƯƠNG ÁN ĐỀ XUẤT PHÂN BỔ DỰ TOÁN THU NSNN NĂM 2026 CHO CÁC XÃ, PHƯỜNG TRÊN ĐỊA BÀN</t>
  </si>
  <si>
    <t>Đơn vị: triệu đồng</t>
  </si>
  <si>
    <t>Số TT</t>
  </si>
  <si>
    <t>Tên Xã, Phường</t>
  </si>
  <si>
    <t>TỔNG THU</t>
  </si>
  <si>
    <t>TỔNG THU TRỪ TIỀN SDĐ</t>
  </si>
  <si>
    <t>DỰ KIẾN NĂM 2026</t>
  </si>
  <si>
    <t>1. Khu vực kinh tế ngoài quốc doanh</t>
  </si>
  <si>
    <t>2. Lệ phí trước bạ</t>
  </si>
  <si>
    <t>3. Thuế Bảo vệ môi trường</t>
  </si>
  <si>
    <t>4. Thuế sử dụng đất nông nghiệp</t>
  </si>
  <si>
    <t>5. Thuế sử dụng đất phi nông nghiệp</t>
  </si>
  <si>
    <t>6. Thuế TNCN</t>
  </si>
  <si>
    <t>7. Phí, lệ phí</t>
  </si>
  <si>
    <t>8. Tiền thuê mặt đất, mặt nước</t>
  </si>
  <si>
    <t>9. Tiền sử dụng đất</t>
  </si>
  <si>
    <t>10. Thu đền bù thiệt hại khi nhà nước thu hồi đất</t>
  </si>
  <si>
    <t>11. Thu quỹ đất công ích hoa lợi công sản xã</t>
  </si>
  <si>
    <t>12. Thu khác ngân sách</t>
  </si>
  <si>
    <t>Tổng cộng</t>
  </si>
  <si>
    <t xml:space="preserve">Thuế GTGT </t>
  </si>
  <si>
    <t>Thuế TTĐB</t>
  </si>
  <si>
    <t>Thuế TNDN</t>
  </si>
  <si>
    <t>Thuế tài nguyên</t>
  </si>
  <si>
    <t>TỔNG</t>
  </si>
  <si>
    <t>LPTB nhà, đất</t>
  </si>
  <si>
    <t>LPTB xe máy, ô tô, tàu thuyền và tài sản khác</t>
  </si>
  <si>
    <t>Do Chi cục Thuế DNL quản lý</t>
  </si>
  <si>
    <t>Do Thuế TP Hà Nội quản lý</t>
  </si>
  <si>
    <t>Do Thuế cơ sở quản lý</t>
  </si>
  <si>
    <t>Khoản PLP do xã, phường quản lý, thực hiện thu</t>
  </si>
  <si>
    <t>Số thu 01 lần</t>
  </si>
  <si>
    <t>Trả tiền hàng năm khu vực DN có vốn ĐTNN</t>
  </si>
  <si>
    <t>Trả tiền hàng năm khu vực còn lại</t>
  </si>
  <si>
    <r>
      <t xml:space="preserve">Đấu giá quyền sử dụng đất cho </t>
    </r>
    <r>
      <rPr>
        <b/>
        <sz val="14"/>
        <rFont val="Times New Roman"/>
        <family val="1"/>
      </rPr>
      <t>cá nhân</t>
    </r>
  </si>
  <si>
    <r>
      <t xml:space="preserve">Đấu giá quyền sử dụng đất cho </t>
    </r>
    <r>
      <rPr>
        <b/>
        <sz val="14"/>
        <rFont val="Times New Roman"/>
        <family val="1"/>
      </rPr>
      <t>tổ chức</t>
    </r>
  </si>
  <si>
    <t>Đấu thầu lựa chọn nhà đầu tư</t>
  </si>
  <si>
    <t>Giao đất dự án có thu tiền sử dụng đất</t>
  </si>
  <si>
    <t xml:space="preserve"> Thu khác</t>
  </si>
  <si>
    <t>Khoản thu khác do xã, phường quản lý, thực hiện thu</t>
  </si>
  <si>
    <t>TỔNG SỐ</t>
  </si>
  <si>
    <t>I</t>
  </si>
  <si>
    <t>Khối Phường</t>
  </si>
  <si>
    <t>Phường Hoàn Kiếm</t>
  </si>
  <si>
    <t>TCS01_HOAN_KIEM</t>
  </si>
  <si>
    <t>Phường Cửa Nam</t>
  </si>
  <si>
    <t>TCS01_CUA_NAM</t>
  </si>
  <si>
    <t>Phường Hồng Hà</t>
  </si>
  <si>
    <t>TCS07_HONG_HA</t>
  </si>
  <si>
    <t>Phường Ba Đình</t>
  </si>
  <si>
    <t>TCS02_BA_DINH</t>
  </si>
  <si>
    <t>Phường Ngọc Hà</t>
  </si>
  <si>
    <t>TCS02_NGOC_HA</t>
  </si>
  <si>
    <t>Phường Giảng Võ</t>
  </si>
  <si>
    <t>TCS02_GIANG_VO</t>
  </si>
  <si>
    <t>Phường Đống Đa</t>
  </si>
  <si>
    <t>TCS04_DONG_DA</t>
  </si>
  <si>
    <t>Phường Kim Liên</t>
  </si>
  <si>
    <t>TCS04_KIM_LIEN</t>
  </si>
  <si>
    <t>Phường Văn Miếu - Quốc Tử Giám</t>
  </si>
  <si>
    <t>TCS04_VAN_MIEU_QTG</t>
  </si>
  <si>
    <t>Phường Láng</t>
  </si>
  <si>
    <t>TCS04_LANG</t>
  </si>
  <si>
    <t>Phường Ô Chợ Dừa</t>
  </si>
  <si>
    <t>TCS04_O_CHO_DUA</t>
  </si>
  <si>
    <t>Phường Hai Bà Trưng</t>
  </si>
  <si>
    <t>TCS03_HAI_BA_TRUNG</t>
  </si>
  <si>
    <t>Phường Vĩnh Tuy</t>
  </si>
  <si>
    <t>TCS03_VINH_TUY</t>
  </si>
  <si>
    <t>Phường Bạch Mai</t>
  </si>
  <si>
    <t>TCS03_BACH_MAI</t>
  </si>
  <si>
    <t>Phường Thanh Xuân</t>
  </si>
  <si>
    <t>TCS06_THANH_XUAN</t>
  </si>
  <si>
    <t>Phường Khương Đình</t>
  </si>
  <si>
    <t>TCS06_KHUONG_DINH</t>
  </si>
  <si>
    <t>Phường Phương Liệt</t>
  </si>
  <si>
    <t>TCS06_PHUONG_LIET</t>
  </si>
  <si>
    <t>Phường Tây Hồ</t>
  </si>
  <si>
    <t>TCS07_TAY_HO</t>
  </si>
  <si>
    <t>Phường Phú Thượng</t>
  </si>
  <si>
    <t>TCS07_PHU_THUONG</t>
  </si>
  <si>
    <t>Phường Cầu Giấy</t>
  </si>
  <si>
    <t>TCS05_CAU_GIAY</t>
  </si>
  <si>
    <t>Phường Nghĩa Đô</t>
  </si>
  <si>
    <t>TCS05_NGHIA_DO</t>
  </si>
  <si>
    <t>Phường Yên Hòa</t>
  </si>
  <si>
    <t>TCS05_YEN_HOA</t>
  </si>
  <si>
    <t>Phường Lĩnh Nam</t>
  </si>
  <si>
    <t>TCS13_LINH_NAM</t>
  </si>
  <si>
    <t>Phường Hoàng Mai</t>
  </si>
  <si>
    <t>TCS13_HOANG_MAI</t>
  </si>
  <si>
    <t>Phường Vĩnh Hưng</t>
  </si>
  <si>
    <t>TCS13_VINH_HUNG</t>
  </si>
  <si>
    <t>Phường Tương Mai</t>
  </si>
  <si>
    <t>TCS13_TUONG_MAI</t>
  </si>
  <si>
    <t>Phường Định Công</t>
  </si>
  <si>
    <t>TCS13_DINH_CONG</t>
  </si>
  <si>
    <t>Phường Yên Sở</t>
  </si>
  <si>
    <t>TCS13_YEN_SO</t>
  </si>
  <si>
    <t>Phường Hoàng Liệt</t>
  </si>
  <si>
    <t>TCS13_HOANG_LIET</t>
  </si>
  <si>
    <t>Phường Long Biên</t>
  </si>
  <si>
    <t>TCS11_LONG_BIEN</t>
  </si>
  <si>
    <t>Phường Bồ Đề</t>
  </si>
  <si>
    <t>TCS11_BO_DE</t>
  </si>
  <si>
    <t>Phường Việt Hưng</t>
  </si>
  <si>
    <t>TCS11_VIET_HUNG</t>
  </si>
  <si>
    <t>Phường Phúc Lợi</t>
  </si>
  <si>
    <t>TCS11_PHUC_LOI</t>
  </si>
  <si>
    <t>Phường Hà Đông</t>
  </si>
  <si>
    <t>TCS15_HA_DONG</t>
  </si>
  <si>
    <t>Phường Dương Nội</t>
  </si>
  <si>
    <t>TCS15_DUONG_NOI</t>
  </si>
  <si>
    <t>Phường Yên Nghĩa</t>
  </si>
  <si>
    <t>TCS15_YEN_NGHIA</t>
  </si>
  <si>
    <t>Phường Phú Lương</t>
  </si>
  <si>
    <t>TCS15_PHU_LUONG</t>
  </si>
  <si>
    <t>Phường Kiến Hưng</t>
  </si>
  <si>
    <t>TCS15_KIEN_HUNG</t>
  </si>
  <si>
    <t>Phường Từ Liêm</t>
  </si>
  <si>
    <t>TCS08_TU_LIEM</t>
  </si>
  <si>
    <t>Phường Xuân Phương</t>
  </si>
  <si>
    <t>TCS08_XUAN_PHUONG</t>
  </si>
  <si>
    <t>Phường Tây Mỗ</t>
  </si>
  <si>
    <t>TCS08_TAY_MO</t>
  </si>
  <si>
    <t>Phường Đại Mỗ</t>
  </si>
  <si>
    <t>TCS08_DAI_MO</t>
  </si>
  <si>
    <t>Phường Tây Tựu</t>
  </si>
  <si>
    <t>TCS09_TAY_TUU</t>
  </si>
  <si>
    <t>Phường Phú Diễn</t>
  </si>
  <si>
    <t>TCS09_PHU_DIEN</t>
  </si>
  <si>
    <t>Phường Xuân Đỉnh</t>
  </si>
  <si>
    <t>TCS09_XUAN_DINH</t>
  </si>
  <si>
    <t>Phường Đông Ngạc</t>
  </si>
  <si>
    <t>TCS09_DONG_NGAC</t>
  </si>
  <si>
    <t>Phường Thượng Cát</t>
  </si>
  <si>
    <t>TCS09_THUONG_CAT</t>
  </si>
  <si>
    <t>Phường Thanh Liệt</t>
  </si>
  <si>
    <t>TCS14_THANH_LIET</t>
  </si>
  <si>
    <t>Phường Chương Mỹ</t>
  </si>
  <si>
    <t>TCS21_CHUONG_MY</t>
  </si>
  <si>
    <t>Phường Sơn Tây</t>
  </si>
  <si>
    <t>TCS16_SON_TAY</t>
  </si>
  <si>
    <t>Phường Tùng Thiện</t>
  </si>
  <si>
    <t>TCS16_TUNG_THIEN</t>
  </si>
  <si>
    <t>II</t>
  </si>
  <si>
    <t>Khối Xã</t>
  </si>
  <si>
    <t>Xã Sóc Sơn</t>
  </si>
  <si>
    <t>TCS18_SOC_SON</t>
  </si>
  <si>
    <t>Xã Đa Phúc</t>
  </si>
  <si>
    <t>TCS18_DA_PHUC</t>
  </si>
  <si>
    <t>Xã Nội Bài</t>
  </si>
  <si>
    <t>TCS18_NOI_BAI</t>
  </si>
  <si>
    <t>Xã Trung Giã</t>
  </si>
  <si>
    <t>TCS18_TRUNG_GIA</t>
  </si>
  <si>
    <t>Xã Kim Anh</t>
  </si>
  <si>
    <t>TCS18_KIM_ANH</t>
  </si>
  <si>
    <t>Xã Minh Châu</t>
  </si>
  <si>
    <t>TCS17_MINH_CHAU</t>
  </si>
  <si>
    <t>Xã Quảng Oai</t>
  </si>
  <si>
    <t>TCS17_QUANG_OAI</t>
  </si>
  <si>
    <t>Xã Vật Lại</t>
  </si>
  <si>
    <t>TCS17_VAT_LAI</t>
  </si>
  <si>
    <t>Xã Cổ Đô</t>
  </si>
  <si>
    <t>TCS17_CO_DO</t>
  </si>
  <si>
    <t>Xã Bất Bạt</t>
  </si>
  <si>
    <t>TCS17_BAT_BAT</t>
  </si>
  <si>
    <t>Xã Suối Hai</t>
  </si>
  <si>
    <t>TCS17_SUOI_HAI</t>
  </si>
  <si>
    <t>Xã Ba Vì</t>
  </si>
  <si>
    <t>TCS17_BA_VI</t>
  </si>
  <si>
    <t>Xã Yên Bài</t>
  </si>
  <si>
    <t>TCS17_YEN_BAI</t>
  </si>
  <si>
    <t>Xã Vân Đình</t>
  </si>
  <si>
    <t>TCS20_VAN_DINH</t>
  </si>
  <si>
    <t>Xã Ứng Thiên</t>
  </si>
  <si>
    <t>TCS20_UNG_THIEN</t>
  </si>
  <si>
    <t>Xã Hòa Xá</t>
  </si>
  <si>
    <t>TCS20_HOA_XA</t>
  </si>
  <si>
    <t>Xã Ứng Hòa</t>
  </si>
  <si>
    <t>TCS20_UNG_HOA</t>
  </si>
  <si>
    <t>Xã Thư Lâm</t>
  </si>
  <si>
    <t>TCS10_THU_LAM</t>
  </si>
  <si>
    <t>Xã Đông Anh</t>
  </si>
  <si>
    <t>TCS10_DONG_ANH</t>
  </si>
  <si>
    <t>Xã Phúc Thịnh</t>
  </si>
  <si>
    <t>TCS10_PHUC_THINH</t>
  </si>
  <si>
    <t>Xã Thiên Lộc</t>
  </si>
  <si>
    <t>TCS10_THIEN_LOC</t>
  </si>
  <si>
    <t>Xã Vĩnh Thanh</t>
  </si>
  <si>
    <t>TCS10_VINH_THANH</t>
  </si>
  <si>
    <t>Xã Mỹ Đức</t>
  </si>
  <si>
    <t>TCS20_MY_DUC</t>
  </si>
  <si>
    <t>Xã Hồng Sơn</t>
  </si>
  <si>
    <t>TCS20_HONG_SON</t>
  </si>
  <si>
    <t>Xã Phúc Sơn</t>
  </si>
  <si>
    <t>TCS20_PHUC_SON</t>
  </si>
  <si>
    <t>Xã Hương Sơn</t>
  </si>
  <si>
    <t>TCS20_HUONG_SON</t>
  </si>
  <si>
    <t>Xã Quốc Oai</t>
  </si>
  <si>
    <t>TCS22_QUOC_OAI</t>
  </si>
  <si>
    <t>Xã Hưng Đạo</t>
  </si>
  <si>
    <t>TCS22_HUNG_DAO</t>
  </si>
  <si>
    <t>Xã Kiều Phú</t>
  </si>
  <si>
    <t>TCS22_KIEU_PHU</t>
  </si>
  <si>
    <t>Xã Phú Cát</t>
  </si>
  <si>
    <t>TCS22_PHU_CAT</t>
  </si>
  <si>
    <t>Xã Đoài Phương</t>
  </si>
  <si>
    <t>TCS16_DOAI_PHUONG</t>
  </si>
  <si>
    <t>Xã Phúc Thọ</t>
  </si>
  <si>
    <t>TCS25_PHUC_THO</t>
  </si>
  <si>
    <t>Xã Phúc Lộc</t>
  </si>
  <si>
    <t>TCS25_PHUC_LOC</t>
  </si>
  <si>
    <t>Xã Hát Môn</t>
  </si>
  <si>
    <t>TCS25_HAT_MON</t>
  </si>
  <si>
    <t>Xã Thanh Trì</t>
  </si>
  <si>
    <t>TCS14_THANH_TRI</t>
  </si>
  <si>
    <t>Xã Đại Thanh</t>
  </si>
  <si>
    <t>TCS14_DAI_THANH</t>
  </si>
  <si>
    <t>Xã Nam Phù</t>
  </si>
  <si>
    <t>TCS14_NAM_PHU</t>
  </si>
  <si>
    <t>Xã Ngọc Hồi</t>
  </si>
  <si>
    <t>TCS14_NGOC_HOI</t>
  </si>
  <si>
    <t>Xã Mê Linh</t>
  </si>
  <si>
    <t>TCS18_ME_LINH</t>
  </si>
  <si>
    <t>Xã Yên Lãng</t>
  </si>
  <si>
    <t>TCS18_YEN_LANG</t>
  </si>
  <si>
    <t>Xã Tiến Thắng</t>
  </si>
  <si>
    <t>TCS18_TIEN_THANG</t>
  </si>
  <si>
    <t>Xã Quang Minh</t>
  </si>
  <si>
    <t>TCS18_QUANG_MINH</t>
  </si>
  <si>
    <t>Xã Gia Lâm</t>
  </si>
  <si>
    <t>TCS12_GIA_LAM</t>
  </si>
  <si>
    <t>Xã Thuận An</t>
  </si>
  <si>
    <t>TCS12_THUAN_AN</t>
  </si>
  <si>
    <t>Xã Bát Tràng</t>
  </si>
  <si>
    <t>TCS12_BAT_TRANG</t>
  </si>
  <si>
    <t>Xã Phù Đổng</t>
  </si>
  <si>
    <t>TCS12_PHU_DONG</t>
  </si>
  <si>
    <t>Xã Thanh Oai</t>
  </si>
  <si>
    <t>TCS21_THANH_OAI</t>
  </si>
  <si>
    <t>Xã Bình Minh</t>
  </si>
  <si>
    <t>TCS21_BINH_MINH</t>
  </si>
  <si>
    <t>Xã Tam Hưng</t>
  </si>
  <si>
    <t>TCS21_TAM_HUNG</t>
  </si>
  <si>
    <t>Xã Dân Hòa</t>
  </si>
  <si>
    <t>TCS21_DAN_HOA</t>
  </si>
  <si>
    <t>Xã Đan Phượng</t>
  </si>
  <si>
    <t>TCS24_DAN_PHUONG</t>
  </si>
  <si>
    <t>Xã Ô Diên</t>
  </si>
  <si>
    <t>TCS24_O_DIEN</t>
  </si>
  <si>
    <t>Xã Liên Minh</t>
  </si>
  <si>
    <t>TCS24_LIEN_MINH</t>
  </si>
  <si>
    <t>Xã Phú Nghĩa</t>
  </si>
  <si>
    <t>TCS21_PHU_NGHIA</t>
  </si>
  <si>
    <t>Xã Xuân Mai</t>
  </si>
  <si>
    <t>TCS21_XUAN_MAI</t>
  </si>
  <si>
    <t>Xã Trần Phú</t>
  </si>
  <si>
    <t>TCS21_TRAN_PHU</t>
  </si>
  <si>
    <t>Xã Hòa Phú</t>
  </si>
  <si>
    <t>TCS21_HOA_PHU</t>
  </si>
  <si>
    <t>Xã Quảng Bị</t>
  </si>
  <si>
    <t>TCS21_QUANG_BI</t>
  </si>
  <si>
    <t>Xã Phú Xuyên</t>
  </si>
  <si>
    <t>TCS19_PHU_XUYEN</t>
  </si>
  <si>
    <t>Xã Phượng Dực</t>
  </si>
  <si>
    <t>TCS19_PHUONG_DUC</t>
  </si>
  <si>
    <t>Xã Chuyên Mỹ</t>
  </si>
  <si>
    <t>TCS19_CHUYEN_MY</t>
  </si>
  <si>
    <t>Xã Đại Xuyên</t>
  </si>
  <si>
    <t>TCS19_DAI_XUYEN</t>
  </si>
  <si>
    <t>Xã Thạch Thất</t>
  </si>
  <si>
    <t>TCS22_THACH_THAT</t>
  </si>
  <si>
    <t>Xã Hạ Bằng</t>
  </si>
  <si>
    <t>TCS22_HA_BANG</t>
  </si>
  <si>
    <t>Xã Tây Phương</t>
  </si>
  <si>
    <t>TCS22_TAY_PHUONG</t>
  </si>
  <si>
    <t>Xã Hòa Lạc</t>
  </si>
  <si>
    <t>TCS22_HOA_LAC</t>
  </si>
  <si>
    <t>Xã Yên Xuân</t>
  </si>
  <si>
    <t>TCS22_YEN_XUAN</t>
  </si>
  <si>
    <t>Xã Thường Tín</t>
  </si>
  <si>
    <t>TCS19_THUONG_TIN</t>
  </si>
  <si>
    <t>Xã Thượng Phúc</t>
  </si>
  <si>
    <t>TCS19_THUONG_PHUC</t>
  </si>
  <si>
    <t>Xã Chương Dương</t>
  </si>
  <si>
    <t>TCS19_CHUONG_DUONG</t>
  </si>
  <si>
    <t>Xã Hồng Vân</t>
  </si>
  <si>
    <t>TCS19_HONG_VAN</t>
  </si>
  <si>
    <t>Xã Hoài Đức</t>
  </si>
  <si>
    <t>TCS23_HOAI_DUC</t>
  </si>
  <si>
    <t>Xã Dương Hòa</t>
  </si>
  <si>
    <t>TCS23_DUONG_HOA</t>
  </si>
  <si>
    <t>Xã Sơn Đồng</t>
  </si>
  <si>
    <t>TCS23_SON_DONG</t>
  </si>
  <si>
    <t>Xã An Khánh</t>
  </si>
  <si>
    <t>TCS23_AN_KHANH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</si>
</sst>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₫_-;\-* #,##0\ _₫_-;_-* &quot;-&quot;??\ _₫_-;_-@_-"/>
    <numFmt numFmtId="165" formatCode="_-* #,##0.00\ _₫_-;\-* #,##0.00\ _₫_-;_-* &quot;-&quot;??\ _₫_-;_-@_-"/>
    <numFmt numFmtId="166" formatCode="#,###"/>
    <numFmt numFmtId="167" formatCode="_(* #,##0.00_);_(* \(#,##0.00\);_(* &quot;-&quot;??_);_(@_)"/>
    <numFmt numFmtId="168" formatCode="_(* #,##0_);_(* \(#,##0\);_(* &quot;-&quot;??_);_(@_)"/>
    <numFmt numFmtId="169" formatCode="0.0%"/>
  </numFmts>
  <fonts count="21" x14ac:knownFonts="1"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C00000"/>
      <name val="Times New Roman"/>
      <family val="1"/>
    </font>
    <font>
      <b/>
      <sz val="14"/>
      <name val="Times New Roman"/>
      <family val="1"/>
    </font>
    <font>
      <b/>
      <sz val="14"/>
      <color rgb="FFC00000"/>
      <name val="Times New Roman"/>
      <family val="1"/>
    </font>
    <font>
      <sz val="14"/>
      <color theme="1"/>
      <name val="Times New Roman"/>
      <family val="2"/>
      <charset val="163"/>
    </font>
    <font>
      <sz val="11"/>
      <color rgb="FFC00000"/>
      <name val="Times New Roman"/>
      <family val="1"/>
    </font>
    <font>
      <i/>
      <sz val="14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5"/>
      <name val="Times New Roman"/>
      <family val="1"/>
      <charset val="163"/>
    </font>
    <font>
      <b/>
      <sz val="16"/>
      <name val="Times New Roman"/>
      <family val="1"/>
      <charset val="163"/>
    </font>
    <font>
      <sz val="14"/>
      <name val="Times New Roman"/>
      <family val="1"/>
    </font>
    <font>
      <sz val="14"/>
      <color rgb="FFC00000"/>
      <name val="Times New Roman"/>
      <family val="1"/>
    </font>
    <font>
      <b/>
      <sz val="14"/>
      <color rgb="FFFF0000"/>
      <name val="Times New Roman"/>
      <family val="1"/>
    </font>
    <font>
      <b/>
      <sz val="17"/>
      <color rgb="FFFF0000"/>
      <name val="Times New Roman"/>
      <family val="1"/>
      <charset val="163"/>
    </font>
    <font>
      <b/>
      <sz val="18"/>
      <name val="Times New Roman"/>
      <family val="1"/>
    </font>
    <font>
      <sz val="18"/>
      <name val="Times New Roman"/>
      <family val="1"/>
      <charset val="163"/>
    </font>
    <font>
      <sz val="18"/>
      <name val="Times New Roman"/>
      <family val="1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</borders>
  <cellStyleXfs count="6">
    <xf numFmtId="0" fontId="0" fillId="0" borderId="0"/>
    <xf numFmtId="165" fontId="7" fillId="0" borderId="0" applyFont="0" applyFill="0" applyBorder="0" applyAlignment="0" applyProtection="0"/>
    <xf numFmtId="0" fontId="1" fillId="0" borderId="0"/>
    <xf numFmtId="0" fontId="7" fillId="0" borderId="0"/>
    <xf numFmtId="167" fontId="1" fillId="0" borderId="0" applyFont="0" applyFill="0" applyBorder="0" applyAlignment="0" applyProtection="0"/>
    <xf numFmtId="169" fontId="13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2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 wrapText="1"/>
    </xf>
    <xf numFmtId="164" fontId="8" fillId="0" borderId="0" xfId="1" applyNumberFormat="1" applyFont="1" applyAlignment="1">
      <alignment vertical="center"/>
    </xf>
    <xf numFmtId="0" fontId="11" fillId="0" borderId="0" xfId="2" applyFont="1" applyAlignment="1">
      <alignment vertical="center" wrapText="1"/>
    </xf>
    <xf numFmtId="0" fontId="12" fillId="0" borderId="0" xfId="2" applyFont="1" applyAlignment="1">
      <alignment horizontal="center" vertical="center" wrapText="1"/>
    </xf>
    <xf numFmtId="166" fontId="5" fillId="2" borderId="16" xfId="2" applyNumberFormat="1" applyFont="1" applyFill="1" applyBorder="1" applyAlignment="1">
      <alignment horizontal="center" vertical="center" wrapText="1"/>
    </xf>
    <xf numFmtId="166" fontId="13" fillId="2" borderId="20" xfId="2" applyNumberFormat="1" applyFont="1" applyFill="1" applyBorder="1" applyAlignment="1">
      <alignment horizontal="center" vertical="center" wrapText="1"/>
    </xf>
    <xf numFmtId="166" fontId="14" fillId="2" borderId="20" xfId="2" applyNumberFormat="1" applyFont="1" applyFill="1" applyBorder="1" applyAlignment="1">
      <alignment horizontal="center" vertical="center" wrapText="1"/>
    </xf>
    <xf numFmtId="166" fontId="14" fillId="2" borderId="17" xfId="2" applyNumberFormat="1" applyFont="1" applyFill="1" applyBorder="1" applyAlignment="1">
      <alignment horizontal="center" vertical="center" wrapText="1"/>
    </xf>
    <xf numFmtId="0" fontId="5" fillId="2" borderId="16" xfId="2" applyFont="1" applyFill="1" applyBorder="1" applyAlignment="1">
      <alignment horizontal="center" vertical="center" wrapText="1"/>
    </xf>
    <xf numFmtId="0" fontId="13" fillId="2" borderId="20" xfId="2" applyFont="1" applyFill="1" applyBorder="1" applyAlignment="1">
      <alignment horizontal="center" vertical="center" wrapText="1"/>
    </xf>
    <xf numFmtId="0" fontId="13" fillId="2" borderId="21" xfId="2" applyFont="1" applyFill="1" applyBorder="1" applyAlignment="1">
      <alignment horizontal="center" vertical="center" wrapText="1"/>
    </xf>
    <xf numFmtId="166" fontId="13" fillId="2" borderId="21" xfId="2" applyNumberFormat="1" applyFont="1" applyFill="1" applyBorder="1" applyAlignment="1">
      <alignment horizontal="center" vertical="center" wrapText="1"/>
    </xf>
    <xf numFmtId="0" fontId="5" fillId="2" borderId="23" xfId="2" applyFont="1" applyFill="1" applyBorder="1" applyAlignment="1">
      <alignment horizontal="center" vertical="center" wrapText="1"/>
    </xf>
    <xf numFmtId="166" fontId="13" fillId="2" borderId="17" xfId="2" applyNumberFormat="1" applyFont="1" applyFill="1" applyBorder="1" applyAlignment="1">
      <alignment horizontal="center" vertical="center" wrapText="1"/>
    </xf>
    <xf numFmtId="166" fontId="13" fillId="2" borderId="25" xfId="2" applyNumberFormat="1" applyFont="1" applyFill="1" applyBorder="1" applyAlignment="1">
      <alignment horizontal="center" vertical="center" wrapText="1"/>
    </xf>
    <xf numFmtId="0" fontId="15" fillId="0" borderId="26" xfId="2" applyFont="1" applyBorder="1" applyAlignment="1">
      <alignment horizontal="center" vertical="center"/>
    </xf>
    <xf numFmtId="168" fontId="15" fillId="0" borderId="27" xfId="4" applyNumberFormat="1" applyFont="1" applyFill="1" applyBorder="1" applyAlignment="1">
      <alignment horizontal="center" vertical="center" wrapText="1"/>
    </xf>
    <xf numFmtId="3" fontId="15" fillId="0" borderId="28" xfId="2" applyNumberFormat="1" applyFont="1" applyBorder="1" applyAlignment="1">
      <alignment vertical="center"/>
    </xf>
    <xf numFmtId="3" fontId="15" fillId="0" borderId="29" xfId="2" applyNumberFormat="1" applyFont="1" applyBorder="1" applyAlignment="1">
      <alignment vertical="center"/>
    </xf>
    <xf numFmtId="3" fontId="15" fillId="0" borderId="26" xfId="2" applyNumberFormat="1" applyFont="1" applyBorder="1" applyAlignment="1">
      <alignment vertical="center"/>
    </xf>
    <xf numFmtId="3" fontId="15" fillId="0" borderId="30" xfId="2" applyNumberFormat="1" applyFont="1" applyBorder="1" applyAlignment="1">
      <alignment vertical="center"/>
    </xf>
    <xf numFmtId="3" fontId="15" fillId="0" borderId="30" xfId="2" applyNumberFormat="1" applyFont="1" applyBorder="1" applyAlignment="1">
      <alignment horizontal="right" vertical="center"/>
    </xf>
    <xf numFmtId="3" fontId="15" fillId="0" borderId="27" xfId="2" applyNumberFormat="1" applyFont="1" applyBorder="1" applyAlignment="1">
      <alignment horizontal="right" vertical="center"/>
    </xf>
    <xf numFmtId="3" fontId="15" fillId="0" borderId="26" xfId="2" applyNumberFormat="1" applyFont="1" applyBorder="1" applyAlignment="1">
      <alignment horizontal="right" vertical="center"/>
    </xf>
    <xf numFmtId="3" fontId="15" fillId="0" borderId="31" xfId="2" applyNumberFormat="1" applyFont="1" applyBorder="1" applyAlignment="1">
      <alignment horizontal="right" vertical="center"/>
    </xf>
    <xf numFmtId="3" fontId="15" fillId="0" borderId="29" xfId="2" applyNumberFormat="1" applyFont="1" applyBorder="1" applyAlignment="1">
      <alignment horizontal="right" vertical="center"/>
    </xf>
    <xf numFmtId="3" fontId="15" fillId="0" borderId="28" xfId="2" applyNumberFormat="1" applyFont="1" applyBorder="1" applyAlignment="1">
      <alignment horizontal="right" vertical="center"/>
    </xf>
    <xf numFmtId="3" fontId="15" fillId="0" borderId="32" xfId="2" applyNumberFormat="1" applyFont="1" applyBorder="1" applyAlignment="1">
      <alignment horizontal="right" vertical="center"/>
    </xf>
    <xf numFmtId="3" fontId="6" fillId="0" borderId="27" xfId="2" applyNumberFormat="1" applyFont="1" applyBorder="1" applyAlignment="1">
      <alignment horizontal="right" vertical="center"/>
    </xf>
    <xf numFmtId="0" fontId="16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168" fontId="5" fillId="0" borderId="34" xfId="4" applyNumberFormat="1" applyFont="1" applyFill="1" applyBorder="1" applyAlignment="1">
      <alignment horizontal="left" vertical="center" wrapText="1"/>
    </xf>
    <xf numFmtId="3" fontId="13" fillId="0" borderId="37" xfId="5" applyNumberFormat="1" applyFont="1" applyFill="1" applyBorder="1" applyAlignment="1">
      <alignment horizontal="right" vertical="center"/>
    </xf>
    <xf numFmtId="3" fontId="13" fillId="0" borderId="34" xfId="5" applyNumberFormat="1" applyFont="1" applyFill="1" applyBorder="1" applyAlignment="1">
      <alignment horizontal="right" vertical="center"/>
    </xf>
    <xf numFmtId="3" fontId="5" fillId="0" borderId="36" xfId="5" applyNumberFormat="1" applyFont="1" applyFill="1" applyBorder="1" applyAlignment="1">
      <alignment horizontal="right" vertical="center"/>
    </xf>
    <xf numFmtId="3" fontId="5" fillId="0" borderId="35" xfId="5" applyNumberFormat="1" applyFont="1" applyFill="1" applyBorder="1" applyAlignment="1">
      <alignment horizontal="right" vertical="center"/>
    </xf>
    <xf numFmtId="3" fontId="5" fillId="0" borderId="33" xfId="5" applyNumberFormat="1" applyFont="1" applyFill="1" applyBorder="1" applyAlignment="1">
      <alignment horizontal="right" vertical="center"/>
    </xf>
    <xf numFmtId="3" fontId="13" fillId="0" borderId="38" xfId="5" applyNumberFormat="1" applyFont="1" applyFill="1" applyBorder="1" applyAlignment="1">
      <alignment horizontal="right" vertical="center"/>
    </xf>
    <xf numFmtId="3" fontId="5" fillId="0" borderId="39" xfId="5" applyNumberFormat="1" applyFont="1" applyFill="1" applyBorder="1" applyAlignment="1">
      <alignment horizontal="right" vertical="center"/>
    </xf>
    <xf numFmtId="3" fontId="5" fillId="0" borderId="38" xfId="5" applyNumberFormat="1" applyFont="1" applyFill="1" applyBorder="1" applyAlignment="1">
      <alignment horizontal="right" vertical="center"/>
    </xf>
    <xf numFmtId="0" fontId="18" fillId="0" borderId="0" xfId="2" applyFont="1" applyAlignment="1">
      <alignment vertical="center"/>
    </xf>
    <xf numFmtId="3" fontId="5" fillId="3" borderId="33" xfId="2" applyNumberFormat="1" applyFont="1" applyFill="1" applyBorder="1" applyAlignment="1">
      <alignment horizontal="right" vertical="center"/>
    </xf>
    <xf numFmtId="3" fontId="5" fillId="3" borderId="39" xfId="5" applyNumberFormat="1" applyFont="1" applyFill="1" applyBorder="1" applyAlignment="1">
      <alignment horizontal="right" vertical="center"/>
    </xf>
    <xf numFmtId="3" fontId="5" fillId="3" borderId="36" xfId="5" applyNumberFormat="1" applyFont="1" applyFill="1" applyBorder="1" applyAlignment="1">
      <alignment horizontal="right" vertical="center"/>
    </xf>
    <xf numFmtId="3" fontId="5" fillId="3" borderId="33" xfId="5" applyNumberFormat="1" applyFont="1" applyFill="1" applyBorder="1" applyAlignment="1">
      <alignment horizontal="right" vertical="center"/>
    </xf>
    <xf numFmtId="0" fontId="19" fillId="0" borderId="0" xfId="2" applyFont="1" applyAlignment="1">
      <alignment vertical="center"/>
    </xf>
    <xf numFmtId="168" fontId="5" fillId="0" borderId="41" xfId="4" applyNumberFormat="1" applyFont="1" applyFill="1" applyBorder="1" applyAlignment="1">
      <alignment horizontal="left" vertical="center" wrapText="1"/>
    </xf>
    <xf numFmtId="3" fontId="5" fillId="0" borderId="43" xfId="5" applyNumberFormat="1" applyFont="1" applyFill="1" applyBorder="1" applyAlignment="1">
      <alignment horizontal="right" vertical="center"/>
    </xf>
    <xf numFmtId="3" fontId="5" fillId="0" borderId="42" xfId="5" applyNumberFormat="1" applyFont="1" applyFill="1" applyBorder="1" applyAlignment="1">
      <alignment horizontal="right" vertical="center"/>
    </xf>
    <xf numFmtId="3" fontId="5" fillId="0" borderId="40" xfId="5" applyNumberFormat="1" applyFont="1" applyFill="1" applyBorder="1" applyAlignment="1">
      <alignment horizontal="right" vertical="center"/>
    </xf>
    <xf numFmtId="3" fontId="13" fillId="0" borderId="44" xfId="5" applyNumberFormat="1" applyFont="1" applyFill="1" applyBorder="1" applyAlignment="1">
      <alignment horizontal="right" vertical="center"/>
    </xf>
    <xf numFmtId="3" fontId="13" fillId="0" borderId="45" xfId="5" applyNumberFormat="1" applyFont="1" applyFill="1" applyBorder="1" applyAlignment="1">
      <alignment horizontal="right" vertical="center"/>
    </xf>
    <xf numFmtId="3" fontId="5" fillId="0" borderId="46" xfId="5" applyNumberFormat="1" applyFont="1" applyFill="1" applyBorder="1" applyAlignment="1">
      <alignment horizontal="right" vertical="center"/>
    </xf>
    <xf numFmtId="3" fontId="13" fillId="0" borderId="41" xfId="5" applyNumberFormat="1" applyFont="1" applyFill="1" applyBorder="1" applyAlignment="1">
      <alignment horizontal="right" vertical="center"/>
    </xf>
    <xf numFmtId="0" fontId="1" fillId="0" borderId="0" xfId="2"/>
    <xf numFmtId="0" fontId="1" fillId="0" borderId="0" xfId="2" applyAlignment="1">
      <alignment horizontal="center"/>
    </xf>
    <xf numFmtId="0" fontId="20" fillId="0" borderId="0" xfId="2" applyFont="1"/>
    <xf numFmtId="166" fontId="6" fillId="2" borderId="15" xfId="2" applyNumberFormat="1" applyFont="1" applyFill="1" applyBorder="1" applyAlignment="1">
      <alignment horizontal="center" vertical="center" wrapText="1"/>
    </xf>
    <xf numFmtId="166" fontId="6" fillId="2" borderId="24" xfId="2" applyNumberFormat="1" applyFont="1" applyFill="1" applyBorder="1" applyAlignment="1">
      <alignment horizontal="center" vertical="center" wrapText="1"/>
    </xf>
    <xf numFmtId="166" fontId="6" fillId="2" borderId="11" xfId="2" applyNumberFormat="1" applyFont="1" applyFill="1" applyBorder="1" applyAlignment="1">
      <alignment horizontal="center" vertical="center" wrapText="1"/>
    </xf>
    <xf numFmtId="166" fontId="6" fillId="2" borderId="21" xfId="2" applyNumberFormat="1" applyFont="1" applyFill="1" applyBorder="1" applyAlignment="1">
      <alignment horizontal="center" vertical="center" wrapText="1"/>
    </xf>
    <xf numFmtId="166" fontId="5" fillId="2" borderId="12" xfId="2" applyNumberFormat="1" applyFont="1" applyFill="1" applyBorder="1" applyAlignment="1">
      <alignment horizontal="center" vertical="center" wrapText="1"/>
    </xf>
    <xf numFmtId="166" fontId="5" fillId="2" borderId="14" xfId="2" applyNumberFormat="1" applyFont="1" applyFill="1" applyBorder="1" applyAlignment="1">
      <alignment horizontal="center" vertical="center" wrapText="1"/>
    </xf>
    <xf numFmtId="166" fontId="6" fillId="2" borderId="3" xfId="2" applyNumberFormat="1" applyFont="1" applyFill="1" applyBorder="1" applyAlignment="1">
      <alignment horizontal="center" vertical="center" wrapText="1"/>
    </xf>
    <xf numFmtId="166" fontId="6" fillId="2" borderId="18" xfId="2" applyNumberFormat="1" applyFont="1" applyFill="1" applyBorder="1" applyAlignment="1">
      <alignment horizontal="center" vertical="center" wrapText="1"/>
    </xf>
    <xf numFmtId="166" fontId="6" fillId="2" borderId="12" xfId="2" applyNumberFormat="1" applyFont="1" applyFill="1" applyBorder="1" applyAlignment="1">
      <alignment horizontal="center" vertical="center" wrapText="1"/>
    </xf>
    <xf numFmtId="166" fontId="6" fillId="2" borderId="22" xfId="2" applyNumberFormat="1" applyFont="1" applyFill="1" applyBorder="1" applyAlignment="1">
      <alignment horizontal="center" vertical="center" wrapText="1"/>
    </xf>
    <xf numFmtId="166" fontId="5" fillId="2" borderId="13" xfId="2" applyNumberFormat="1" applyFont="1" applyFill="1" applyBorder="1" applyAlignment="1">
      <alignment horizontal="center" vertical="center" wrapText="1"/>
    </xf>
    <xf numFmtId="166" fontId="5" fillId="2" borderId="4" xfId="2" applyNumberFormat="1" applyFont="1" applyFill="1" applyBorder="1" applyAlignment="1">
      <alignment horizontal="center" vertical="center" wrapText="1"/>
    </xf>
    <xf numFmtId="166" fontId="6" fillId="2" borderId="13" xfId="2" applyNumberFormat="1" applyFont="1" applyFill="1" applyBorder="1" applyAlignment="1">
      <alignment horizontal="center" vertical="center" wrapText="1"/>
    </xf>
    <xf numFmtId="166" fontId="6" fillId="2" borderId="14" xfId="2" applyNumberFormat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7" xfId="2" applyFont="1" applyFill="1" applyBorder="1" applyAlignment="1">
      <alignment horizontal="center" vertical="center" wrapText="1"/>
    </xf>
    <xf numFmtId="0" fontId="5" fillId="2" borderId="16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2" borderId="17" xfId="2" applyFont="1" applyFill="1" applyBorder="1" applyAlignment="1">
      <alignment horizontal="center" vertical="center" wrapText="1"/>
    </xf>
    <xf numFmtId="166" fontId="5" fillId="2" borderId="3" xfId="2" applyNumberFormat="1" applyFont="1" applyFill="1" applyBorder="1" applyAlignment="1">
      <alignment horizontal="center" vertical="center" wrapText="1"/>
    </xf>
    <xf numFmtId="166" fontId="5" fillId="2" borderId="9" xfId="2" applyNumberFormat="1" applyFont="1" applyFill="1" applyBorder="1" applyAlignment="1">
      <alignment horizontal="center" vertical="center" wrapText="1"/>
    </xf>
    <xf numFmtId="166" fontId="5" fillId="2" borderId="18" xfId="2" applyNumberFormat="1" applyFont="1" applyFill="1" applyBorder="1" applyAlignment="1">
      <alignment horizontal="center" vertical="center" wrapText="1"/>
    </xf>
    <xf numFmtId="166" fontId="5" fillId="2" borderId="0" xfId="2" applyNumberFormat="1" applyFont="1" applyFill="1" applyAlignment="1">
      <alignment horizontal="center" vertical="center" wrapText="1"/>
    </xf>
    <xf numFmtId="166" fontId="5" fillId="2" borderId="19" xfId="2" applyNumberFormat="1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166" fontId="6" fillId="2" borderId="4" xfId="2" applyNumberFormat="1" applyFont="1" applyFill="1" applyBorder="1" applyAlignment="1">
      <alignment horizontal="center" vertical="center" wrapText="1"/>
    </xf>
    <xf numFmtId="166" fontId="6" fillId="2" borderId="19" xfId="2" applyNumberFormat="1" applyFont="1" applyFill="1" applyBorder="1" applyAlignment="1">
      <alignment horizontal="center" vertical="center" wrapText="1"/>
    </xf>
    <xf numFmtId="3" fontId="5" fillId="0" borderId="35" xfId="2" applyNumberFormat="1" applyFont="1" applyFill="1" applyBorder="1" applyAlignment="1">
      <alignment vertical="center"/>
    </xf>
    <xf numFmtId="3" fontId="5" fillId="0" borderId="36" xfId="2" applyNumberFormat="1" applyFont="1" applyFill="1" applyBorder="1" applyAlignment="1">
      <alignment vertical="center"/>
    </xf>
    <xf numFmtId="3" fontId="5" fillId="0" borderId="33" xfId="2" applyNumberFormat="1" applyFont="1" applyFill="1" applyBorder="1" applyAlignment="1">
      <alignment vertical="center"/>
    </xf>
    <xf numFmtId="3" fontId="5" fillId="0" borderId="33" xfId="2" applyNumberFormat="1" applyFont="1" applyFill="1" applyBorder="1" applyAlignment="1">
      <alignment horizontal="right" vertical="center"/>
    </xf>
    <xf numFmtId="0" fontId="13" fillId="0" borderId="33" xfId="2" applyFont="1" applyFill="1" applyBorder="1" applyAlignment="1">
      <alignment horizontal="center" vertical="center"/>
    </xf>
    <xf numFmtId="3" fontId="13" fillId="0" borderId="37" xfId="2" applyNumberFormat="1" applyFont="1" applyFill="1" applyBorder="1" applyAlignment="1">
      <alignment horizontal="right" vertical="center"/>
    </xf>
    <xf numFmtId="3" fontId="13" fillId="0" borderId="38" xfId="2" applyNumberFormat="1" applyFont="1" applyFill="1" applyBorder="1" applyAlignment="1">
      <alignment horizontal="right" vertical="center"/>
    </xf>
    <xf numFmtId="0" fontId="13" fillId="0" borderId="40" xfId="2" applyFont="1" applyFill="1" applyBorder="1" applyAlignment="1">
      <alignment horizontal="center" vertical="center"/>
    </xf>
    <xf numFmtId="3" fontId="5" fillId="0" borderId="42" xfId="2" applyNumberFormat="1" applyFont="1" applyFill="1" applyBorder="1" applyAlignment="1">
      <alignment vertical="center"/>
    </xf>
    <xf numFmtId="3" fontId="5" fillId="0" borderId="43" xfId="2" applyNumberFormat="1" applyFont="1" applyFill="1" applyBorder="1" applyAlignment="1">
      <alignment vertical="center"/>
    </xf>
    <xf numFmtId="3" fontId="5" fillId="0" borderId="40" xfId="2" applyNumberFormat="1" applyFont="1" applyFill="1" applyBorder="1" applyAlignment="1">
      <alignment vertical="center"/>
    </xf>
    <xf numFmtId="3" fontId="5" fillId="0" borderId="40" xfId="2" applyNumberFormat="1" applyFont="1" applyFill="1" applyBorder="1" applyAlignment="1">
      <alignment horizontal="right" vertical="center"/>
    </xf>
    <xf numFmtId="3" fontId="13" fillId="0" borderId="44" xfId="2" applyNumberFormat="1" applyFont="1" applyFill="1" applyBorder="1" applyAlignment="1">
      <alignment horizontal="right" vertical="center"/>
    </xf>
    <xf numFmtId="3" fontId="13" fillId="0" borderId="45" xfId="2" applyNumberFormat="1" applyFont="1" applyFill="1" applyBorder="1" applyAlignment="1">
      <alignment horizontal="right" vertical="center"/>
    </xf>
    <xf numFmtId="0" fontId="5" fillId="3" borderId="33" xfId="2" applyFont="1" applyFill="1" applyBorder="1" applyAlignment="1">
      <alignment horizontal="center" vertical="center"/>
    </xf>
    <xf numFmtId="168" fontId="5" fillId="3" borderId="34" xfId="4" applyNumberFormat="1" applyFont="1" applyFill="1" applyBorder="1" applyAlignment="1">
      <alignment horizontal="left" vertical="center" wrapText="1"/>
    </xf>
    <xf numFmtId="3" fontId="5" fillId="3" borderId="35" xfId="2" applyNumberFormat="1" applyFont="1" applyFill="1" applyBorder="1" applyAlignment="1">
      <alignment vertical="center"/>
    </xf>
    <xf numFmtId="3" fontId="5" fillId="3" borderId="36" xfId="2" applyNumberFormat="1" applyFont="1" applyFill="1" applyBorder="1" applyAlignment="1">
      <alignment vertical="center"/>
    </xf>
    <xf numFmtId="3" fontId="5" fillId="3" borderId="33" xfId="2" applyNumberFormat="1" applyFont="1" applyFill="1" applyBorder="1" applyAlignment="1">
      <alignment vertical="center"/>
    </xf>
    <xf numFmtId="3" fontId="5" fillId="3" borderId="37" xfId="5" applyNumberFormat="1" applyFont="1" applyFill="1" applyBorder="1" applyAlignment="1">
      <alignment horizontal="right" vertical="center"/>
    </xf>
    <xf numFmtId="3" fontId="5" fillId="3" borderId="34" xfId="5" applyNumberFormat="1" applyFont="1" applyFill="1" applyBorder="1" applyAlignment="1">
      <alignment horizontal="right" vertical="center"/>
    </xf>
    <xf numFmtId="3" fontId="5" fillId="3" borderId="37" xfId="2" applyNumberFormat="1" applyFont="1" applyFill="1" applyBorder="1" applyAlignment="1">
      <alignment horizontal="right" vertical="center"/>
    </xf>
    <xf numFmtId="3" fontId="5" fillId="3" borderId="38" xfId="2" applyNumberFormat="1" applyFont="1" applyFill="1" applyBorder="1" applyAlignment="1">
      <alignment horizontal="right" vertical="center"/>
    </xf>
    <xf numFmtId="3" fontId="5" fillId="3" borderId="35" xfId="5" applyNumberFormat="1" applyFont="1" applyFill="1" applyBorder="1" applyAlignment="1">
      <alignment horizontal="right" vertical="center"/>
    </xf>
    <xf numFmtId="3" fontId="5" fillId="3" borderId="38" xfId="5" applyNumberFormat="1" applyFont="1" applyFill="1" applyBorder="1" applyAlignment="1">
      <alignment horizontal="right" vertical="center"/>
    </xf>
  </cellXfs>
  <cellStyles count="6">
    <cellStyle name="Comma" xfId="1" builtinId="3"/>
    <cellStyle name="Comma [0] 6 5" xfId="5" xr:uid="{9E0172B2-EA09-4107-B8E8-122692A36AA2}"/>
    <cellStyle name="Comma 10 2 2" xfId="4" xr:uid="{D13CB947-1952-4218-90A8-A21172E18BB2}"/>
    <cellStyle name="Normal" xfId="0" builtinId="0"/>
    <cellStyle name="Normal 2 6 3" xfId="2" xr:uid="{1A43B35F-B63F-45CA-82D9-3D822F1A97DD}"/>
    <cellStyle name="Normal 3 4" xfId="3" xr:uid="{ED7EFED5-72A2-4B6F-8020-611745B132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OGLE%20DRIVE/NVDTPC/2.%20Du%20toan/GIAO%20DU%20TOAN%202026/Giao%20xa%20phuong%202026/2.%20DATA%20Giao%20xa%20phuong%202026%20-%20(26112025)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z"/>
      <sheetName val="PL1"/>
      <sheetName val="PL2"/>
      <sheetName val="PL3 - Giao XP 2026"/>
      <sheetName val="PL4"/>
      <sheetName val="XP - CHI TIET"/>
      <sheetName val="Uoc XP 2025"/>
      <sheetName val="DATA GIAO DT"/>
      <sheetName val="XP-TCS"/>
      <sheetName val="XP-QLDN (cac phong gui)"/>
      <sheetName val="XP-DNL"/>
      <sheetName val="XP-QLDN"/>
      <sheetName val="Bieu QLDN"/>
      <sheetName val="QLD (gui 24.11.2025)"/>
      <sheetName val="QLD (gui 18.11.2025)"/>
      <sheetName val="QLD (gui 14.11.2025)"/>
      <sheetName val="QLD (gui 08.11.2025)"/>
      <sheetName val="QLD (L1)"/>
      <sheetName val="LIST"/>
      <sheetName val="LPTB"/>
      <sheetName val="MB - XPql"/>
      <sheetName val="GTGT-TNDN"/>
      <sheetName val="GTGT-TNDN (2)"/>
      <sheetName val="CT - XP q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PHƯỜNG HOÀN KIẾM</v>
          </cell>
        </row>
        <row r="3">
          <cell r="C3" t="str">
            <v>PHƯỜNG CỬA NAM</v>
          </cell>
        </row>
        <row r="4">
          <cell r="C4" t="str">
            <v>PHƯỜNG HỒNG HÀ</v>
          </cell>
        </row>
        <row r="5">
          <cell r="C5" t="str">
            <v>PHƯỜNG BA ĐÌNH</v>
          </cell>
        </row>
        <row r="6">
          <cell r="C6" t="str">
            <v>PHƯỜNG NGỌC HÀ</v>
          </cell>
        </row>
        <row r="7">
          <cell r="C7" t="str">
            <v>PHƯỜNG GIẢNG VÕ</v>
          </cell>
        </row>
        <row r="8">
          <cell r="C8" t="str">
            <v>PHƯỜNG ĐỐNG ĐA</v>
          </cell>
        </row>
        <row r="9">
          <cell r="C9" t="str">
            <v>PHƯỜNG KIM LIÊN</v>
          </cell>
        </row>
        <row r="10">
          <cell r="C10" t="str">
            <v>PHƯỜNG VĂN MIẾU - QUỐC TỬ GIÁM</v>
          </cell>
        </row>
        <row r="11">
          <cell r="C11" t="str">
            <v>PHƯỜNG LÁNG</v>
          </cell>
        </row>
        <row r="12">
          <cell r="C12" t="str">
            <v>PHƯỜNG Ô CHỢ DỪA</v>
          </cell>
        </row>
        <row r="13">
          <cell r="C13" t="str">
            <v>PHƯỜNG HAI BÀ TRƯNG</v>
          </cell>
        </row>
        <row r="14">
          <cell r="C14" t="str">
            <v>PHƯỜNG VĨNH TUY</v>
          </cell>
        </row>
        <row r="15">
          <cell r="C15" t="str">
            <v>PHƯỜNG BẠCH MAI</v>
          </cell>
        </row>
        <row r="16">
          <cell r="C16" t="str">
            <v>PHƯỜNG THANH XUÂN</v>
          </cell>
        </row>
        <row r="17">
          <cell r="C17" t="str">
            <v>PHƯỜNG KHƯƠNG ĐÌNH</v>
          </cell>
        </row>
        <row r="18">
          <cell r="C18" t="str">
            <v>PHƯỜNG PHƯƠNG LIỆT</v>
          </cell>
        </row>
        <row r="19">
          <cell r="C19" t="str">
            <v>PHƯỜNG TÂY HỒ</v>
          </cell>
        </row>
        <row r="20">
          <cell r="C20" t="str">
            <v>PHƯỜNG PHÚ THƯỢNG</v>
          </cell>
        </row>
        <row r="21">
          <cell r="C21" t="str">
            <v>PHƯỜNG CẦU GIẤY</v>
          </cell>
        </row>
        <row r="22">
          <cell r="C22" t="str">
            <v>PHƯỜNG NGHĨA ĐÔ</v>
          </cell>
        </row>
        <row r="23">
          <cell r="C23" t="str">
            <v>PHƯỜNG YÊN HÒA</v>
          </cell>
        </row>
        <row r="24">
          <cell r="C24" t="str">
            <v>PHƯỜNG LĨNH NAM</v>
          </cell>
        </row>
        <row r="25">
          <cell r="C25" t="str">
            <v>PHƯỜNG HOÀNG MAI</v>
          </cell>
        </row>
        <row r="26">
          <cell r="C26" t="str">
            <v>PHƯỜNG VĨNH HƯNG</v>
          </cell>
        </row>
        <row r="27">
          <cell r="C27" t="str">
            <v>PHƯỜNG TƯƠNG MAI</v>
          </cell>
        </row>
        <row r="28">
          <cell r="C28" t="str">
            <v>PHƯỜNG ĐỊNH CÔNG</v>
          </cell>
        </row>
        <row r="29">
          <cell r="C29" t="str">
            <v>PHƯỜNG YÊN SỞ</v>
          </cell>
        </row>
        <row r="30">
          <cell r="C30" t="str">
            <v>PHƯỜNG HOÀNG LIỆT</v>
          </cell>
        </row>
        <row r="31">
          <cell r="C31" t="str">
            <v>PHƯỜNG LONG BIÊN</v>
          </cell>
        </row>
        <row r="32">
          <cell r="C32" t="str">
            <v>PHƯỜNG BỒ ĐỀ</v>
          </cell>
        </row>
        <row r="33">
          <cell r="C33" t="str">
            <v>PHƯỜNG VIỆT HƯNG</v>
          </cell>
        </row>
        <row r="34">
          <cell r="C34" t="str">
            <v>PHƯỜNG PHÚC LỢI</v>
          </cell>
        </row>
        <row r="35">
          <cell r="C35" t="str">
            <v>PHƯỜNG HÀ ĐÔNG</v>
          </cell>
        </row>
        <row r="36">
          <cell r="C36" t="str">
            <v>PHƯỜNG DƯƠNG NỘI</v>
          </cell>
        </row>
        <row r="37">
          <cell r="C37" t="str">
            <v>PHƯỜNG YÊN NGHĨA</v>
          </cell>
        </row>
        <row r="38">
          <cell r="C38" t="str">
            <v>PHƯỜNG PHÚ LƯƠNG</v>
          </cell>
        </row>
        <row r="39">
          <cell r="C39" t="str">
            <v>PHƯỜNG KIẾN HƯNG</v>
          </cell>
        </row>
        <row r="40">
          <cell r="C40" t="str">
            <v>PHƯỜNG TỪ LIÊM</v>
          </cell>
        </row>
        <row r="41">
          <cell r="C41" t="str">
            <v>PHƯỜNG XUÂN PHƯƠNG</v>
          </cell>
        </row>
        <row r="42">
          <cell r="C42" t="str">
            <v>PHƯỜNG TÂY MỖ</v>
          </cell>
        </row>
        <row r="43">
          <cell r="C43" t="str">
            <v>PHƯỜNG ĐẠI MỖ</v>
          </cell>
        </row>
        <row r="44">
          <cell r="C44" t="str">
            <v>PHƯỜNG TÂY TỰU</v>
          </cell>
        </row>
        <row r="45">
          <cell r="C45" t="str">
            <v>PHƯỜNG PHÚ DIỄN</v>
          </cell>
        </row>
        <row r="46">
          <cell r="C46" t="str">
            <v>PHƯỜNG XUÂN ĐỈNH</v>
          </cell>
        </row>
        <row r="47">
          <cell r="C47" t="str">
            <v>PHƯỜNG ĐÔNG NGẠC</v>
          </cell>
        </row>
        <row r="48">
          <cell r="C48" t="str">
            <v>PHƯỜNG THƯỢNG CÁT</v>
          </cell>
        </row>
        <row r="49">
          <cell r="C49" t="str">
            <v>PHƯỜNG THANH LIỆT</v>
          </cell>
        </row>
        <row r="50">
          <cell r="C50" t="str">
            <v>PHƯỜNG CHƯƠNG MỸ</v>
          </cell>
        </row>
        <row r="51">
          <cell r="C51" t="str">
            <v>PHƯỜNG SƠN TÂY</v>
          </cell>
        </row>
        <row r="52">
          <cell r="C52" t="str">
            <v>PHƯỜNG TÙNG THIỆN</v>
          </cell>
        </row>
        <row r="53">
          <cell r="C53" t="str">
            <v>XÃ SÓC SƠN</v>
          </cell>
        </row>
        <row r="54">
          <cell r="C54" t="str">
            <v>XÃ ĐA PHÚC</v>
          </cell>
        </row>
        <row r="55">
          <cell r="C55" t="str">
            <v>XÃ NỘI BÀI</v>
          </cell>
        </row>
        <row r="56">
          <cell r="C56" t="str">
            <v>XÃ TRUNG GIÃ</v>
          </cell>
        </row>
        <row r="57">
          <cell r="C57" t="str">
            <v>XÃ KIM ANH</v>
          </cell>
        </row>
        <row r="58">
          <cell r="C58" t="str">
            <v>XÃ MINH CHÂU</v>
          </cell>
        </row>
        <row r="59">
          <cell r="C59" t="str">
            <v>XÃ QUẢNG OAI</v>
          </cell>
        </row>
        <row r="60">
          <cell r="C60" t="str">
            <v>XÃ VẬT LẠI</v>
          </cell>
        </row>
        <row r="61">
          <cell r="C61" t="str">
            <v>XÃ CỔ ĐÔ</v>
          </cell>
        </row>
        <row r="62">
          <cell r="C62" t="str">
            <v>XÃ BẤT BẠT</v>
          </cell>
        </row>
        <row r="63">
          <cell r="C63" t="str">
            <v>XÃ SUỐI HAI</v>
          </cell>
        </row>
        <row r="64">
          <cell r="C64" t="str">
            <v>XÃ BA VÌ</v>
          </cell>
        </row>
        <row r="65">
          <cell r="C65" t="str">
            <v>XÃ YÊN BÀI</v>
          </cell>
        </row>
        <row r="66">
          <cell r="C66" t="str">
            <v>XÃ VÂN ĐÌNH</v>
          </cell>
        </row>
        <row r="67">
          <cell r="C67" t="str">
            <v>XÃ ỨNG THIÊN</v>
          </cell>
        </row>
        <row r="68">
          <cell r="C68" t="str">
            <v>XÃ HÒA XÁ</v>
          </cell>
        </row>
        <row r="69">
          <cell r="C69" t="str">
            <v>XÃ ỨNG HÒA</v>
          </cell>
        </row>
        <row r="70">
          <cell r="C70" t="str">
            <v>XÃ THƯ LÂM</v>
          </cell>
        </row>
        <row r="71">
          <cell r="C71" t="str">
            <v>XÃ ĐÔNG ANH</v>
          </cell>
        </row>
        <row r="72">
          <cell r="C72" t="str">
            <v>XÃ PHÚC THỊNH</v>
          </cell>
        </row>
        <row r="73">
          <cell r="C73" t="str">
            <v>XÃ THIÊN LỘC</v>
          </cell>
        </row>
        <row r="74">
          <cell r="C74" t="str">
            <v>XÃ VĨNH THANH</v>
          </cell>
        </row>
        <row r="75">
          <cell r="C75" t="str">
            <v>XÃ MỸ ĐỨC</v>
          </cell>
        </row>
        <row r="76">
          <cell r="C76" t="str">
            <v>XÃ HỒNG SƠN</v>
          </cell>
        </row>
        <row r="77">
          <cell r="C77" t="str">
            <v>XÃ PHÚC SƠN</v>
          </cell>
        </row>
        <row r="78">
          <cell r="C78" t="str">
            <v>XÃ HƯƠNG SƠN</v>
          </cell>
        </row>
        <row r="79">
          <cell r="C79" t="str">
            <v>XÃ QUỐC OAI</v>
          </cell>
        </row>
        <row r="80">
          <cell r="C80" t="str">
            <v>XÃ HƯNG ĐẠO</v>
          </cell>
        </row>
        <row r="81">
          <cell r="C81" t="str">
            <v>XÃ KIỀU PHÚ</v>
          </cell>
        </row>
        <row r="82">
          <cell r="C82" t="str">
            <v>XÃ PHÚ CÁT</v>
          </cell>
        </row>
        <row r="83">
          <cell r="C83" t="str">
            <v>XÃ ĐOÀI PHƯƠNG</v>
          </cell>
        </row>
        <row r="84">
          <cell r="C84" t="str">
            <v>XÃ PHÚC THỌ</v>
          </cell>
        </row>
        <row r="85">
          <cell r="C85" t="str">
            <v>XÃ PHÚC LỘC</v>
          </cell>
        </row>
        <row r="86">
          <cell r="C86" t="str">
            <v>XÃ HÁT MÔN</v>
          </cell>
        </row>
        <row r="87">
          <cell r="C87" t="str">
            <v>XÃ THANH TRÌ</v>
          </cell>
        </row>
        <row r="88">
          <cell r="C88" t="str">
            <v>XÃ ĐẠI THANH</v>
          </cell>
        </row>
        <row r="89">
          <cell r="C89" t="str">
            <v>XÃ NAM PHÙ</v>
          </cell>
        </row>
        <row r="90">
          <cell r="C90" t="str">
            <v>XÃ NGỌC HỒI</v>
          </cell>
        </row>
        <row r="91">
          <cell r="C91" t="str">
            <v>XÃ MÊ LINH</v>
          </cell>
        </row>
        <row r="92">
          <cell r="C92" t="str">
            <v>XÃ YÊN LÃNG</v>
          </cell>
        </row>
        <row r="93">
          <cell r="C93" t="str">
            <v>XÃ TIẾN THẮNG</v>
          </cell>
        </row>
        <row r="94">
          <cell r="C94" t="str">
            <v>XÃ QUANG MINH</v>
          </cell>
        </row>
        <row r="95">
          <cell r="C95" t="str">
            <v>XÃ GIA LÂM</v>
          </cell>
        </row>
        <row r="96">
          <cell r="C96" t="str">
            <v>XÃ THUẬN AN</v>
          </cell>
        </row>
        <row r="97">
          <cell r="C97" t="str">
            <v>XÃ BÁT TRÀNG</v>
          </cell>
        </row>
        <row r="98">
          <cell r="C98" t="str">
            <v>XÃ PHÙ ĐỔNG</v>
          </cell>
        </row>
        <row r="99">
          <cell r="C99" t="str">
            <v>XÃ THANH OAI</v>
          </cell>
        </row>
        <row r="100">
          <cell r="C100" t="str">
            <v>XÃ BÌNH MINH</v>
          </cell>
        </row>
        <row r="101">
          <cell r="C101" t="str">
            <v>XÃ TAM HƯNG</v>
          </cell>
        </row>
        <row r="102">
          <cell r="C102" t="str">
            <v>XÃ DÂN HÒA</v>
          </cell>
        </row>
        <row r="103">
          <cell r="C103" t="str">
            <v>XÃ ĐAN PHƯỢNG</v>
          </cell>
        </row>
        <row r="104">
          <cell r="C104" t="str">
            <v>XÃ Ô DIÊN</v>
          </cell>
        </row>
        <row r="105">
          <cell r="C105" t="str">
            <v>XÃ LIÊN MINH</v>
          </cell>
        </row>
        <row r="106">
          <cell r="C106" t="str">
            <v>XÃ PHÚ NGHĨA</v>
          </cell>
        </row>
        <row r="107">
          <cell r="C107" t="str">
            <v>XÃ XUÂN MAI</v>
          </cell>
        </row>
        <row r="108">
          <cell r="C108" t="str">
            <v>XÃ TRẦN PHÚ</v>
          </cell>
        </row>
        <row r="109">
          <cell r="C109" t="str">
            <v>XÃ HÒA PHÚ</v>
          </cell>
        </row>
        <row r="110">
          <cell r="C110" t="str">
            <v>XÃ QUẢNG BỊ</v>
          </cell>
        </row>
        <row r="111">
          <cell r="C111" t="str">
            <v>XÃ PHÚ XUYÊN</v>
          </cell>
        </row>
        <row r="112">
          <cell r="C112" t="str">
            <v>XÃ PHƯỢNG DỰC</v>
          </cell>
        </row>
        <row r="113">
          <cell r="C113" t="str">
            <v>XÃ CHUYÊN MỸ</v>
          </cell>
        </row>
        <row r="114">
          <cell r="C114" t="str">
            <v>XÃ ĐẠI XUYÊN</v>
          </cell>
        </row>
        <row r="115">
          <cell r="C115" t="str">
            <v>XÃ THẠCH THẤT</v>
          </cell>
        </row>
        <row r="116">
          <cell r="C116" t="str">
            <v>XÃ HẠ BẰNG</v>
          </cell>
        </row>
        <row r="117">
          <cell r="C117" t="str">
            <v>XÃ TÂY PHƯƠNG</v>
          </cell>
        </row>
        <row r="118">
          <cell r="C118" t="str">
            <v>XÃ HÒA LẠC</v>
          </cell>
        </row>
        <row r="119">
          <cell r="C119" t="str">
            <v>XÃ YÊN XUÂN</v>
          </cell>
        </row>
        <row r="120">
          <cell r="C120" t="str">
            <v>XÃ THƯỜNG TÍN</v>
          </cell>
        </row>
        <row r="121">
          <cell r="C121" t="str">
            <v>XÃ THƯỢNG PHÚC</v>
          </cell>
        </row>
        <row r="122">
          <cell r="C122" t="str">
            <v>XÃ CHƯƠNG DƯƠNG</v>
          </cell>
        </row>
        <row r="123">
          <cell r="C123" t="str">
            <v>XÃ HỒNG VÂN</v>
          </cell>
        </row>
        <row r="124">
          <cell r="C124" t="str">
            <v>XÃ HOÀI ĐỨC</v>
          </cell>
        </row>
        <row r="125">
          <cell r="C125" t="str">
            <v>XÃ DƯƠNG HÒA</v>
          </cell>
        </row>
        <row r="126">
          <cell r="C126" t="str">
            <v>XÃ SƠN ĐỒNG</v>
          </cell>
        </row>
        <row r="127">
          <cell r="C127" t="str">
            <v>XÃ AN KHÁNH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3CCC-5A12-43A3-BAD6-E2132CAE21D6}">
  <sheetPr>
    <tabColor theme="6" tint="0.59999389629810485"/>
    <pageSetUpPr fitToPage="1"/>
  </sheetPr>
  <dimension ref="A1:AJ152"/>
  <sheetViews>
    <sheetView tabSelected="1" view="pageBreakPreview" zoomScale="60" zoomScaleNormal="43" workbookViewId="0">
      <pane xSplit="2" ySplit="8" topLeftCell="C60" activePane="bottomRight" state="frozen"/>
      <selection activeCell="G56" sqref="G56"/>
      <selection pane="topRight" activeCell="G56" sqref="G56"/>
      <selection pane="bottomLeft" activeCell="G56" sqref="G56"/>
      <selection pane="bottomRight" activeCell="A61" sqref="A61:AI61"/>
    </sheetView>
  </sheetViews>
  <sheetFormatPr defaultColWidth="8.88671875" defaultRowHeight="15.75" x14ac:dyDescent="0.3"/>
  <cols>
    <col min="1" max="1" width="5.88671875" style="1" customWidth="1"/>
    <col min="2" max="2" width="36.109375" style="1" customWidth="1"/>
    <col min="3" max="4" width="16.33203125" style="2" customWidth="1"/>
    <col min="5" max="5" width="13.44140625" style="3" customWidth="1"/>
    <col min="6" max="6" width="11.77734375" style="3" bestFit="1" customWidth="1"/>
    <col min="7" max="7" width="10.44140625" style="3" bestFit="1" customWidth="1"/>
    <col min="8" max="8" width="11.77734375" style="3" bestFit="1" customWidth="1"/>
    <col min="9" max="9" width="9" style="3" bestFit="1" customWidth="1"/>
    <col min="10" max="10" width="11.44140625" style="2" bestFit="1" customWidth="1"/>
    <col min="11" max="13" width="12" style="3" customWidth="1"/>
    <col min="14" max="14" width="10.21875" style="3" customWidth="1"/>
    <col min="15" max="19" width="12" style="3" customWidth="1"/>
    <col min="20" max="20" width="11.33203125" style="3" customWidth="1"/>
    <col min="21" max="21" width="12.21875" style="4" customWidth="1"/>
    <col min="22" max="23" width="11.44140625" style="3" customWidth="1"/>
    <col min="24" max="25" width="10.21875" style="3" customWidth="1"/>
    <col min="26" max="31" width="12.21875" style="3" customWidth="1"/>
    <col min="32" max="33" width="10.21875" style="3" customWidth="1"/>
    <col min="34" max="34" width="11.77734375" style="3" customWidth="1"/>
    <col min="35" max="35" width="11.88671875" style="3" customWidth="1"/>
    <col min="36" max="36" width="30.21875" style="3" customWidth="1"/>
    <col min="37" max="16384" width="8.88671875" style="3"/>
  </cols>
  <sheetData>
    <row r="1" spans="1:36" x14ac:dyDescent="0.3">
      <c r="AH1" s="5"/>
    </row>
    <row r="2" spans="1:36" ht="30" customHeight="1" x14ac:dyDescent="0.3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36" s="4" customFormat="1" ht="30" customHeight="1" x14ac:dyDescent="0.3">
      <c r="A3" s="6"/>
      <c r="B3" s="6"/>
      <c r="C3" s="7"/>
      <c r="D3" s="7"/>
      <c r="E3" s="8">
        <f>E4-E8</f>
        <v>0</v>
      </c>
      <c r="F3" s="8">
        <f t="shared" ref="F3:Z3" si="0">F4-F8</f>
        <v>0</v>
      </c>
      <c r="G3" s="8">
        <f t="shared" si="0"/>
        <v>0</v>
      </c>
      <c r="H3" s="8">
        <f t="shared" si="0"/>
        <v>0</v>
      </c>
      <c r="I3" s="8">
        <f t="shared" si="0"/>
        <v>0</v>
      </c>
      <c r="J3" s="8">
        <f t="shared" si="0"/>
        <v>0</v>
      </c>
      <c r="K3" s="7"/>
      <c r="L3" s="7"/>
      <c r="M3" s="7">
        <f t="shared" si="0"/>
        <v>0</v>
      </c>
      <c r="N3" s="7">
        <f t="shared" si="0"/>
        <v>0</v>
      </c>
      <c r="O3" s="7">
        <f>O4-O8</f>
        <v>-7.4277000036090612E-2</v>
      </c>
      <c r="P3" s="7">
        <f t="shared" si="0"/>
        <v>0</v>
      </c>
      <c r="Q3" s="7"/>
      <c r="R3" s="7"/>
      <c r="S3" s="7"/>
      <c r="T3" s="7">
        <f t="shared" si="0"/>
        <v>0</v>
      </c>
      <c r="U3" s="7"/>
      <c r="V3" s="7">
        <f t="shared" si="0"/>
        <v>0</v>
      </c>
      <c r="W3" s="7"/>
      <c r="X3" s="7"/>
      <c r="Y3" s="7"/>
      <c r="Z3" s="7">
        <f t="shared" si="0"/>
        <v>0</v>
      </c>
      <c r="AA3" s="7"/>
      <c r="AB3" s="7"/>
      <c r="AC3" s="7"/>
      <c r="AD3" s="7"/>
      <c r="AE3" s="7"/>
      <c r="AF3" s="7"/>
      <c r="AG3" s="7"/>
      <c r="AH3" s="83" t="s">
        <v>1</v>
      </c>
      <c r="AI3" s="83"/>
    </row>
    <row r="4" spans="1:36" s="12" customFormat="1" ht="24" customHeight="1" thickBot="1" x14ac:dyDescent="0.35">
      <c r="A4" s="9"/>
      <c r="B4" s="9"/>
      <c r="C4" s="10">
        <f>+E4+J4+M4+N4+O4+P4+T4+V4+Z4+AF4+AG4+AH4</f>
        <v>293634100</v>
      </c>
      <c r="D4" s="10">
        <f>+C4-Z4</f>
        <v>210759100</v>
      </c>
      <c r="E4" s="9">
        <f>SUM(F4:I4)</f>
        <v>142469000</v>
      </c>
      <c r="F4" s="9">
        <v>64645000</v>
      </c>
      <c r="G4" s="9">
        <v>1557000</v>
      </c>
      <c r="H4" s="9">
        <v>76237000</v>
      </c>
      <c r="I4" s="9">
        <v>30000</v>
      </c>
      <c r="J4" s="9">
        <v>10200000</v>
      </c>
      <c r="K4" s="9"/>
      <c r="L4" s="9"/>
      <c r="M4" s="9">
        <v>400000</v>
      </c>
      <c r="N4" s="9">
        <v>100</v>
      </c>
      <c r="O4" s="9">
        <v>700000</v>
      </c>
      <c r="P4" s="9">
        <v>36300000</v>
      </c>
      <c r="Q4" s="9"/>
      <c r="R4" s="9"/>
      <c r="S4" s="9"/>
      <c r="T4" s="11">
        <v>1900000</v>
      </c>
      <c r="U4" s="9"/>
      <c r="V4" s="9">
        <v>15000000</v>
      </c>
      <c r="W4" s="9"/>
      <c r="X4" s="9"/>
      <c r="Y4" s="9"/>
      <c r="Z4" s="9">
        <v>82875000</v>
      </c>
      <c r="AA4" s="9"/>
      <c r="AB4" s="9"/>
      <c r="AC4" s="9"/>
      <c r="AD4" s="9"/>
      <c r="AE4" s="9"/>
      <c r="AF4" s="9">
        <v>800000</v>
      </c>
      <c r="AG4" s="9"/>
      <c r="AH4" s="11">
        <v>2990000</v>
      </c>
      <c r="AI4" s="11"/>
    </row>
    <row r="5" spans="1:36" s="13" customFormat="1" ht="39" customHeight="1" thickBot="1" x14ac:dyDescent="0.35">
      <c r="A5" s="84" t="s">
        <v>2</v>
      </c>
      <c r="B5" s="87" t="s">
        <v>3</v>
      </c>
      <c r="C5" s="90" t="s">
        <v>4</v>
      </c>
      <c r="D5" s="79" t="s">
        <v>5</v>
      </c>
      <c r="E5" s="95" t="s">
        <v>6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7"/>
    </row>
    <row r="6" spans="1:36" s="14" customFormat="1" ht="47.25" customHeight="1" x14ac:dyDescent="0.3">
      <c r="A6" s="85"/>
      <c r="B6" s="88"/>
      <c r="C6" s="91"/>
      <c r="D6" s="93"/>
      <c r="E6" s="84" t="s">
        <v>7</v>
      </c>
      <c r="F6" s="98"/>
      <c r="G6" s="98"/>
      <c r="H6" s="98"/>
      <c r="I6" s="87"/>
      <c r="J6" s="84" t="s">
        <v>8</v>
      </c>
      <c r="K6" s="98"/>
      <c r="L6" s="99"/>
      <c r="M6" s="100" t="s">
        <v>9</v>
      </c>
      <c r="N6" s="74" t="s">
        <v>10</v>
      </c>
      <c r="O6" s="76" t="s">
        <v>11</v>
      </c>
      <c r="P6" s="78" t="s">
        <v>12</v>
      </c>
      <c r="Q6" s="72"/>
      <c r="R6" s="72"/>
      <c r="S6" s="73"/>
      <c r="T6" s="79" t="s">
        <v>13</v>
      </c>
      <c r="U6" s="79"/>
      <c r="V6" s="80" t="s">
        <v>14</v>
      </c>
      <c r="W6" s="76"/>
      <c r="X6" s="76"/>
      <c r="Y6" s="81"/>
      <c r="Z6" s="76" t="s">
        <v>15</v>
      </c>
      <c r="AA6" s="76"/>
      <c r="AB6" s="76"/>
      <c r="AC6" s="76"/>
      <c r="AD6" s="76"/>
      <c r="AE6" s="76"/>
      <c r="AF6" s="68" t="s">
        <v>16</v>
      </c>
      <c r="AG6" s="70" t="s">
        <v>17</v>
      </c>
      <c r="AH6" s="72" t="s">
        <v>18</v>
      </c>
      <c r="AI6" s="73"/>
    </row>
    <row r="7" spans="1:36" s="14" customFormat="1" ht="119.45" customHeight="1" thickBot="1" x14ac:dyDescent="0.35">
      <c r="A7" s="86"/>
      <c r="B7" s="89"/>
      <c r="C7" s="92"/>
      <c r="D7" s="94"/>
      <c r="E7" s="15" t="s">
        <v>19</v>
      </c>
      <c r="F7" s="16" t="s">
        <v>20</v>
      </c>
      <c r="G7" s="17" t="s">
        <v>21</v>
      </c>
      <c r="H7" s="16" t="s">
        <v>22</v>
      </c>
      <c r="I7" s="18" t="s">
        <v>23</v>
      </c>
      <c r="J7" s="19" t="s">
        <v>24</v>
      </c>
      <c r="K7" s="20" t="s">
        <v>25</v>
      </c>
      <c r="L7" s="21" t="s">
        <v>26</v>
      </c>
      <c r="M7" s="101"/>
      <c r="N7" s="75"/>
      <c r="O7" s="77"/>
      <c r="P7" s="19" t="s">
        <v>24</v>
      </c>
      <c r="Q7" s="16" t="s">
        <v>27</v>
      </c>
      <c r="R7" s="16" t="s">
        <v>28</v>
      </c>
      <c r="S7" s="22" t="s">
        <v>29</v>
      </c>
      <c r="T7" s="23" t="s">
        <v>24</v>
      </c>
      <c r="U7" s="24" t="s">
        <v>30</v>
      </c>
      <c r="V7" s="19" t="s">
        <v>24</v>
      </c>
      <c r="W7" s="16" t="s">
        <v>31</v>
      </c>
      <c r="X7" s="16" t="s">
        <v>32</v>
      </c>
      <c r="Y7" s="22" t="s">
        <v>33</v>
      </c>
      <c r="Z7" s="23" t="s">
        <v>24</v>
      </c>
      <c r="AA7" s="16" t="s">
        <v>34</v>
      </c>
      <c r="AB7" s="16" t="s">
        <v>35</v>
      </c>
      <c r="AC7" s="16" t="s">
        <v>36</v>
      </c>
      <c r="AD7" s="16" t="s">
        <v>37</v>
      </c>
      <c r="AE7" s="24" t="s">
        <v>38</v>
      </c>
      <c r="AF7" s="69"/>
      <c r="AG7" s="71"/>
      <c r="AH7" s="23" t="s">
        <v>24</v>
      </c>
      <c r="AI7" s="25" t="s">
        <v>39</v>
      </c>
    </row>
    <row r="8" spans="1:36" s="40" customFormat="1" ht="37.5" customHeight="1" x14ac:dyDescent="0.3">
      <c r="A8" s="26"/>
      <c r="B8" s="27" t="s">
        <v>40</v>
      </c>
      <c r="C8" s="28">
        <f>+E8+J8+M8+N8+O8+P8+T8+V8+Z8+AF8+AG8+AH8</f>
        <v>293634100.07427704</v>
      </c>
      <c r="D8" s="29">
        <f t="shared" ref="D8:S8" si="1">D9+D61</f>
        <v>210759100.07427698</v>
      </c>
      <c r="E8" s="30">
        <f t="shared" si="1"/>
        <v>142469000</v>
      </c>
      <c r="F8" s="31">
        <f t="shared" si="1"/>
        <v>64645000</v>
      </c>
      <c r="G8" s="32">
        <f t="shared" si="1"/>
        <v>1557000</v>
      </c>
      <c r="H8" s="32">
        <f t="shared" si="1"/>
        <v>76237000</v>
      </c>
      <c r="I8" s="33">
        <f t="shared" si="1"/>
        <v>30000</v>
      </c>
      <c r="J8" s="34">
        <f t="shared" si="1"/>
        <v>10200000</v>
      </c>
      <c r="K8" s="32">
        <f t="shared" si="1"/>
        <v>2737900</v>
      </c>
      <c r="L8" s="35">
        <f>L9+L61</f>
        <v>7462100</v>
      </c>
      <c r="M8" s="36">
        <f t="shared" si="1"/>
        <v>400000</v>
      </c>
      <c r="N8" s="37">
        <f t="shared" si="1"/>
        <v>100</v>
      </c>
      <c r="O8" s="36">
        <f>O9+O61</f>
        <v>700000.07427700004</v>
      </c>
      <c r="P8" s="34">
        <f t="shared" si="1"/>
        <v>36300000</v>
      </c>
      <c r="Q8" s="32">
        <f t="shared" si="1"/>
        <v>12012060</v>
      </c>
      <c r="R8" s="32">
        <f t="shared" si="1"/>
        <v>9801880</v>
      </c>
      <c r="S8" s="35">
        <f t="shared" si="1"/>
        <v>14486060</v>
      </c>
      <c r="T8" s="38">
        <f>T9+T61</f>
        <v>1900000</v>
      </c>
      <c r="U8" s="39">
        <f>U9+U61</f>
        <v>27843.717527499994</v>
      </c>
      <c r="V8" s="34">
        <f t="shared" ref="V8:AG8" si="2">V9+V61</f>
        <v>14999999.999999996</v>
      </c>
      <c r="W8" s="32">
        <f t="shared" si="2"/>
        <v>10292316.547549589</v>
      </c>
      <c r="X8" s="32">
        <f t="shared" si="2"/>
        <v>291260</v>
      </c>
      <c r="Y8" s="35">
        <f t="shared" si="2"/>
        <v>4416423.4524504105</v>
      </c>
      <c r="Z8" s="38">
        <f t="shared" si="2"/>
        <v>82875000</v>
      </c>
      <c r="AA8" s="32">
        <f t="shared" si="2"/>
        <v>15803000</v>
      </c>
      <c r="AB8" s="32">
        <f t="shared" si="2"/>
        <v>10675890</v>
      </c>
      <c r="AC8" s="32">
        <f t="shared" si="2"/>
        <v>11180800</v>
      </c>
      <c r="AD8" s="32">
        <f t="shared" si="2"/>
        <v>43950000</v>
      </c>
      <c r="AE8" s="33">
        <f t="shared" si="2"/>
        <v>1265310</v>
      </c>
      <c r="AF8" s="34">
        <f t="shared" si="2"/>
        <v>10508</v>
      </c>
      <c r="AG8" s="35">
        <f t="shared" si="2"/>
        <v>789492</v>
      </c>
      <c r="AH8" s="38">
        <f>AH9+AH61</f>
        <v>2990000</v>
      </c>
      <c r="AI8" s="39">
        <f>AI9+AI61</f>
        <v>213566</v>
      </c>
    </row>
    <row r="9" spans="1:36" s="41" customFormat="1" ht="34.5" customHeight="1" x14ac:dyDescent="0.3">
      <c r="A9" s="116" t="s">
        <v>41</v>
      </c>
      <c r="B9" s="117" t="s">
        <v>42</v>
      </c>
      <c r="C9" s="118">
        <f t="shared" ref="C9:T9" si="3">SUM(C10:C60)</f>
        <v>226192755.8420499</v>
      </c>
      <c r="D9" s="119">
        <f t="shared" si="3"/>
        <v>178395845.8420499</v>
      </c>
      <c r="E9" s="120">
        <f t="shared" si="3"/>
        <v>128548640</v>
      </c>
      <c r="F9" s="121">
        <f t="shared" si="3"/>
        <v>56211200</v>
      </c>
      <c r="G9" s="121">
        <f t="shared" si="3"/>
        <v>1121750</v>
      </c>
      <c r="H9" s="121">
        <f t="shared" si="3"/>
        <v>71192870</v>
      </c>
      <c r="I9" s="122">
        <f t="shared" si="3"/>
        <v>22820</v>
      </c>
      <c r="J9" s="52">
        <f>SUM(J10:J60)</f>
        <v>7179570</v>
      </c>
      <c r="K9" s="123">
        <f>SUM(K10:K60)</f>
        <v>2053080</v>
      </c>
      <c r="L9" s="124">
        <f>SUM(L10:L60)</f>
        <v>5126490</v>
      </c>
      <c r="M9" s="54">
        <f t="shared" si="3"/>
        <v>323250</v>
      </c>
      <c r="N9" s="125">
        <f t="shared" si="3"/>
        <v>0</v>
      </c>
      <c r="O9" s="54">
        <f t="shared" si="3"/>
        <v>512190</v>
      </c>
      <c r="P9" s="55">
        <f t="shared" si="3"/>
        <v>31760590</v>
      </c>
      <c r="Q9" s="121">
        <f t="shared" si="3"/>
        <v>11827570</v>
      </c>
      <c r="R9" s="121">
        <f t="shared" si="3"/>
        <v>8449560</v>
      </c>
      <c r="S9" s="126">
        <f t="shared" si="3"/>
        <v>11483460</v>
      </c>
      <c r="T9" s="53">
        <f t="shared" si="3"/>
        <v>822700</v>
      </c>
      <c r="U9" s="122">
        <f t="shared" ref="U9:AI9" si="4">SUM(U10:U60)</f>
        <v>11800.632822499994</v>
      </c>
      <c r="V9" s="55">
        <f t="shared" si="4"/>
        <v>6829670.8420499088</v>
      </c>
      <c r="W9" s="121">
        <f t="shared" si="4"/>
        <v>3010000</v>
      </c>
      <c r="X9" s="121">
        <f t="shared" si="4"/>
        <v>262510</v>
      </c>
      <c r="Y9" s="126">
        <f t="shared" si="4"/>
        <v>3557160.8420499102</v>
      </c>
      <c r="Z9" s="53">
        <f t="shared" si="4"/>
        <v>47796910</v>
      </c>
      <c r="AA9" s="121">
        <f>SUM(AA10:AA60)</f>
        <v>2751800</v>
      </c>
      <c r="AB9" s="121">
        <f t="shared" ref="AB9:AD9" si="5">SUM(AB10:AB60)</f>
        <v>5758300</v>
      </c>
      <c r="AC9" s="121">
        <f t="shared" si="5"/>
        <v>0</v>
      </c>
      <c r="AD9" s="121">
        <f t="shared" si="5"/>
        <v>38584000</v>
      </c>
      <c r="AE9" s="122">
        <f>SUM(AE10:AE60)</f>
        <v>702810</v>
      </c>
      <c r="AF9" s="55">
        <f t="shared" si="4"/>
        <v>842</v>
      </c>
      <c r="AG9" s="126">
        <f t="shared" si="4"/>
        <v>68103</v>
      </c>
      <c r="AH9" s="53">
        <f t="shared" si="4"/>
        <v>2350290</v>
      </c>
      <c r="AI9" s="122">
        <f t="shared" si="4"/>
        <v>72290</v>
      </c>
    </row>
    <row r="10" spans="1:36" s="51" customFormat="1" ht="34.5" customHeight="1" x14ac:dyDescent="0.3">
      <c r="A10" s="106">
        <v>1</v>
      </c>
      <c r="B10" s="42" t="s">
        <v>43</v>
      </c>
      <c r="C10" s="102">
        <f t="shared" ref="C10:C60" si="6">+E10+J10+M10+N10+O10+P10+T10+V10+Z10+AF10+AG10+AH10</f>
        <v>10149263.873228479</v>
      </c>
      <c r="D10" s="103">
        <f t="shared" ref="D10:D60" si="7">+C10-Z10</f>
        <v>10134263.873228479</v>
      </c>
      <c r="E10" s="104">
        <f>SUM(F10:I10)</f>
        <v>8186120</v>
      </c>
      <c r="F10" s="43">
        <v>1797700</v>
      </c>
      <c r="G10" s="43">
        <v>2230</v>
      </c>
      <c r="H10" s="43">
        <v>6386190</v>
      </c>
      <c r="I10" s="44">
        <v>0</v>
      </c>
      <c r="J10" s="105">
        <v>151730</v>
      </c>
      <c r="K10" s="107">
        <v>45550</v>
      </c>
      <c r="L10" s="108">
        <f>J10-K10</f>
        <v>106180</v>
      </c>
      <c r="M10" s="45">
        <v>0</v>
      </c>
      <c r="N10" s="46">
        <v>0</v>
      </c>
      <c r="O10" s="45">
        <v>15900</v>
      </c>
      <c r="P10" s="47">
        <v>1541330</v>
      </c>
      <c r="Q10" s="43">
        <v>868320</v>
      </c>
      <c r="R10" s="43">
        <v>528950</v>
      </c>
      <c r="S10" s="48">
        <f>P10-Q10-R10</f>
        <v>144060</v>
      </c>
      <c r="T10" s="49">
        <v>37720</v>
      </c>
      <c r="U10" s="44">
        <v>229.5325</v>
      </c>
      <c r="V10" s="47">
        <v>168163.87322848002</v>
      </c>
      <c r="W10" s="43">
        <v>0</v>
      </c>
      <c r="X10" s="43">
        <v>4070</v>
      </c>
      <c r="Y10" s="48">
        <f>V10-W10-X10</f>
        <v>164093.87322848002</v>
      </c>
      <c r="Z10" s="49">
        <v>15000</v>
      </c>
      <c r="AA10" s="43">
        <v>0</v>
      </c>
      <c r="AB10" s="43">
        <v>0</v>
      </c>
      <c r="AC10" s="43">
        <v>0</v>
      </c>
      <c r="AD10" s="43">
        <v>0</v>
      </c>
      <c r="AE10" s="44">
        <v>15000</v>
      </c>
      <c r="AF10" s="47">
        <v>0</v>
      </c>
      <c r="AG10" s="50">
        <v>0</v>
      </c>
      <c r="AH10" s="49">
        <v>33300</v>
      </c>
      <c r="AI10" s="44">
        <v>260</v>
      </c>
      <c r="AJ10" s="51" t="s">
        <v>44</v>
      </c>
    </row>
    <row r="11" spans="1:36" s="51" customFormat="1" ht="29.25" customHeight="1" x14ac:dyDescent="0.3">
      <c r="A11" s="106">
        <v>2</v>
      </c>
      <c r="B11" s="42" t="s">
        <v>45</v>
      </c>
      <c r="C11" s="102">
        <f t="shared" si="6"/>
        <v>24094705.036341749</v>
      </c>
      <c r="D11" s="103">
        <f t="shared" si="7"/>
        <v>24082395.036341749</v>
      </c>
      <c r="E11" s="104">
        <f t="shared" ref="E11:E41" si="8">SUM(F11:I11)</f>
        <v>19967640</v>
      </c>
      <c r="F11" s="43">
        <v>5010210</v>
      </c>
      <c r="G11" s="43">
        <v>1620</v>
      </c>
      <c r="H11" s="43">
        <v>14954230</v>
      </c>
      <c r="I11" s="44">
        <v>1580</v>
      </c>
      <c r="J11" s="105">
        <v>147820</v>
      </c>
      <c r="K11" s="107">
        <v>31760</v>
      </c>
      <c r="L11" s="108">
        <f t="shared" ref="L11:L74" si="9">J11-K11</f>
        <v>116060</v>
      </c>
      <c r="M11" s="45">
        <v>0</v>
      </c>
      <c r="N11" s="46">
        <v>0</v>
      </c>
      <c r="O11" s="45">
        <v>10000</v>
      </c>
      <c r="P11" s="47">
        <v>3660890</v>
      </c>
      <c r="Q11" s="43">
        <v>2857280</v>
      </c>
      <c r="R11" s="43">
        <v>462890</v>
      </c>
      <c r="S11" s="48">
        <f t="shared" ref="S11:S74" si="10">P11-Q11-R11</f>
        <v>340720</v>
      </c>
      <c r="T11" s="49">
        <v>86470</v>
      </c>
      <c r="U11" s="44">
        <v>410.09750000000003</v>
      </c>
      <c r="V11" s="47">
        <v>128245.03634175</v>
      </c>
      <c r="W11" s="43">
        <v>0</v>
      </c>
      <c r="X11" s="43">
        <v>12330</v>
      </c>
      <c r="Y11" s="48">
        <f t="shared" ref="Y11:Y60" si="11">V11-W11-X11</f>
        <v>115915.03634175</v>
      </c>
      <c r="Z11" s="49">
        <v>12310</v>
      </c>
      <c r="AA11" s="43">
        <v>0</v>
      </c>
      <c r="AB11" s="43">
        <v>0</v>
      </c>
      <c r="AC11" s="43">
        <v>0</v>
      </c>
      <c r="AD11" s="43">
        <v>0</v>
      </c>
      <c r="AE11" s="44">
        <v>12310</v>
      </c>
      <c r="AF11" s="47">
        <v>0</v>
      </c>
      <c r="AG11" s="50">
        <v>0</v>
      </c>
      <c r="AH11" s="49">
        <v>81330</v>
      </c>
      <c r="AI11" s="44">
        <v>260</v>
      </c>
      <c r="AJ11" s="51" t="s">
        <v>46</v>
      </c>
    </row>
    <row r="12" spans="1:36" s="51" customFormat="1" ht="29.25" customHeight="1" x14ac:dyDescent="0.3">
      <c r="A12" s="106">
        <v>3</v>
      </c>
      <c r="B12" s="42" t="s">
        <v>47</v>
      </c>
      <c r="C12" s="102">
        <f t="shared" si="6"/>
        <v>1167959.8861326301</v>
      </c>
      <c r="D12" s="103">
        <f t="shared" si="7"/>
        <v>1110559.8861326301</v>
      </c>
      <c r="E12" s="104">
        <f t="shared" si="8"/>
        <v>693030</v>
      </c>
      <c r="F12" s="43">
        <v>506330</v>
      </c>
      <c r="G12" s="43">
        <v>800</v>
      </c>
      <c r="H12" s="43">
        <v>185900</v>
      </c>
      <c r="I12" s="44">
        <v>0</v>
      </c>
      <c r="J12" s="105">
        <v>95650</v>
      </c>
      <c r="K12" s="107">
        <v>13360</v>
      </c>
      <c r="L12" s="108">
        <f t="shared" si="9"/>
        <v>82290</v>
      </c>
      <c r="M12" s="45">
        <v>0</v>
      </c>
      <c r="N12" s="46">
        <v>0</v>
      </c>
      <c r="O12" s="45">
        <v>12800</v>
      </c>
      <c r="P12" s="47">
        <v>165840</v>
      </c>
      <c r="Q12" s="43">
        <v>0</v>
      </c>
      <c r="R12" s="43">
        <v>92640</v>
      </c>
      <c r="S12" s="48">
        <f t="shared" si="10"/>
        <v>73200</v>
      </c>
      <c r="T12" s="49">
        <v>4860</v>
      </c>
      <c r="U12" s="44">
        <v>317.34916500000003</v>
      </c>
      <c r="V12" s="47">
        <v>102779.88613263001</v>
      </c>
      <c r="W12" s="43">
        <v>0</v>
      </c>
      <c r="X12" s="43">
        <v>0</v>
      </c>
      <c r="Y12" s="48">
        <f t="shared" si="11"/>
        <v>102779.88613263001</v>
      </c>
      <c r="Z12" s="49">
        <v>57400</v>
      </c>
      <c r="AA12" s="43">
        <v>49400</v>
      </c>
      <c r="AB12" s="43">
        <v>0</v>
      </c>
      <c r="AC12" s="43">
        <v>0</v>
      </c>
      <c r="AD12" s="43">
        <v>0</v>
      </c>
      <c r="AE12" s="44">
        <v>8000</v>
      </c>
      <c r="AF12" s="47">
        <v>0</v>
      </c>
      <c r="AG12" s="50">
        <v>7200</v>
      </c>
      <c r="AH12" s="49">
        <v>28400</v>
      </c>
      <c r="AI12" s="44">
        <v>260</v>
      </c>
      <c r="AJ12" s="51" t="s">
        <v>48</v>
      </c>
    </row>
    <row r="13" spans="1:36" s="51" customFormat="1" ht="29.25" customHeight="1" x14ac:dyDescent="0.3">
      <c r="A13" s="106">
        <v>4</v>
      </c>
      <c r="B13" s="42" t="s">
        <v>49</v>
      </c>
      <c r="C13" s="102">
        <f t="shared" si="6"/>
        <v>2177847.6911115502</v>
      </c>
      <c r="D13" s="103">
        <f t="shared" si="7"/>
        <v>2142847.6911115502</v>
      </c>
      <c r="E13" s="104">
        <f t="shared" si="8"/>
        <v>1606750</v>
      </c>
      <c r="F13" s="43">
        <v>950130</v>
      </c>
      <c r="G13" s="43">
        <v>3030</v>
      </c>
      <c r="H13" s="43">
        <v>653590</v>
      </c>
      <c r="I13" s="44">
        <v>0</v>
      </c>
      <c r="J13" s="105">
        <v>109830</v>
      </c>
      <c r="K13" s="107">
        <v>28840</v>
      </c>
      <c r="L13" s="108">
        <f t="shared" si="9"/>
        <v>80990</v>
      </c>
      <c r="M13" s="45">
        <v>0</v>
      </c>
      <c r="N13" s="46">
        <v>0</v>
      </c>
      <c r="O13" s="45">
        <v>10000</v>
      </c>
      <c r="P13" s="47">
        <v>297460</v>
      </c>
      <c r="Q13" s="43">
        <v>22430</v>
      </c>
      <c r="R13" s="43">
        <v>35730</v>
      </c>
      <c r="S13" s="48">
        <f t="shared" si="10"/>
        <v>239300</v>
      </c>
      <c r="T13" s="49">
        <v>4060</v>
      </c>
      <c r="U13" s="44">
        <v>3.3176450000000002</v>
      </c>
      <c r="V13" s="47">
        <v>91677.691111549997</v>
      </c>
      <c r="W13" s="43">
        <v>0</v>
      </c>
      <c r="X13" s="43">
        <v>0</v>
      </c>
      <c r="Y13" s="48">
        <f t="shared" si="11"/>
        <v>91677.691111549997</v>
      </c>
      <c r="Z13" s="49">
        <v>35000</v>
      </c>
      <c r="AA13" s="43">
        <v>0</v>
      </c>
      <c r="AB13" s="43">
        <v>0</v>
      </c>
      <c r="AC13" s="43">
        <v>0</v>
      </c>
      <c r="AD13" s="43">
        <v>0</v>
      </c>
      <c r="AE13" s="44">
        <v>35000</v>
      </c>
      <c r="AF13" s="47">
        <v>0</v>
      </c>
      <c r="AG13" s="50">
        <v>0</v>
      </c>
      <c r="AH13" s="49">
        <v>23070</v>
      </c>
      <c r="AI13" s="44">
        <v>1300</v>
      </c>
      <c r="AJ13" s="51" t="s">
        <v>50</v>
      </c>
    </row>
    <row r="14" spans="1:36" s="51" customFormat="1" ht="29.25" customHeight="1" x14ac:dyDescent="0.3">
      <c r="A14" s="106">
        <v>5</v>
      </c>
      <c r="B14" s="42" t="s">
        <v>51</v>
      </c>
      <c r="C14" s="102">
        <f t="shared" si="6"/>
        <v>3904879.9781092601</v>
      </c>
      <c r="D14" s="103">
        <f t="shared" si="7"/>
        <v>3872879.9781092601</v>
      </c>
      <c r="E14" s="104">
        <f t="shared" si="8"/>
        <v>2906590</v>
      </c>
      <c r="F14" s="43">
        <v>1971260</v>
      </c>
      <c r="G14" s="43">
        <v>2480</v>
      </c>
      <c r="H14" s="43">
        <v>930250</v>
      </c>
      <c r="I14" s="44">
        <v>2600</v>
      </c>
      <c r="J14" s="105">
        <v>168510</v>
      </c>
      <c r="K14" s="107">
        <v>38840</v>
      </c>
      <c r="L14" s="108">
        <f t="shared" si="9"/>
        <v>129670</v>
      </c>
      <c r="M14" s="45">
        <v>0</v>
      </c>
      <c r="N14" s="46">
        <v>0</v>
      </c>
      <c r="O14" s="45">
        <v>12300</v>
      </c>
      <c r="P14" s="47">
        <v>598430</v>
      </c>
      <c r="Q14" s="43">
        <v>237690</v>
      </c>
      <c r="R14" s="43">
        <v>86540</v>
      </c>
      <c r="S14" s="48">
        <f t="shared" si="10"/>
        <v>274200</v>
      </c>
      <c r="T14" s="49">
        <v>4230</v>
      </c>
      <c r="U14" s="44">
        <v>247.9075</v>
      </c>
      <c r="V14" s="47">
        <v>99229.978109259988</v>
      </c>
      <c r="W14" s="43">
        <v>0</v>
      </c>
      <c r="X14" s="43">
        <v>0</v>
      </c>
      <c r="Y14" s="48">
        <f t="shared" si="11"/>
        <v>99229.978109259988</v>
      </c>
      <c r="Z14" s="49">
        <v>32000</v>
      </c>
      <c r="AA14" s="43">
        <v>0</v>
      </c>
      <c r="AB14" s="43">
        <v>0</v>
      </c>
      <c r="AC14" s="43">
        <v>0</v>
      </c>
      <c r="AD14" s="43">
        <v>0</v>
      </c>
      <c r="AE14" s="44">
        <v>32000</v>
      </c>
      <c r="AF14" s="47">
        <v>0</v>
      </c>
      <c r="AG14" s="50">
        <v>0</v>
      </c>
      <c r="AH14" s="49">
        <v>83590</v>
      </c>
      <c r="AI14" s="44">
        <v>800</v>
      </c>
      <c r="AJ14" s="51" t="s">
        <v>52</v>
      </c>
    </row>
    <row r="15" spans="1:36" s="51" customFormat="1" ht="29.25" customHeight="1" x14ac:dyDescent="0.3">
      <c r="A15" s="106">
        <v>6</v>
      </c>
      <c r="B15" s="42" t="s">
        <v>53</v>
      </c>
      <c r="C15" s="102">
        <f t="shared" si="6"/>
        <v>2933233.7462998</v>
      </c>
      <c r="D15" s="103">
        <f t="shared" si="7"/>
        <v>2890233.7462998</v>
      </c>
      <c r="E15" s="104">
        <f t="shared" si="8"/>
        <v>2107220</v>
      </c>
      <c r="F15" s="43">
        <v>1188880</v>
      </c>
      <c r="G15" s="43">
        <v>900</v>
      </c>
      <c r="H15" s="43">
        <v>917440</v>
      </c>
      <c r="I15" s="44">
        <v>0</v>
      </c>
      <c r="J15" s="105">
        <v>189440</v>
      </c>
      <c r="K15" s="107">
        <v>46170</v>
      </c>
      <c r="L15" s="108">
        <f t="shared" si="9"/>
        <v>143270</v>
      </c>
      <c r="M15" s="45">
        <v>200</v>
      </c>
      <c r="N15" s="46">
        <v>0</v>
      </c>
      <c r="O15" s="45">
        <v>14000</v>
      </c>
      <c r="P15" s="47">
        <v>405990</v>
      </c>
      <c r="Q15" s="43">
        <v>0</v>
      </c>
      <c r="R15" s="43">
        <v>104490</v>
      </c>
      <c r="S15" s="48">
        <f t="shared" si="10"/>
        <v>301500</v>
      </c>
      <c r="T15" s="49">
        <v>4000</v>
      </c>
      <c r="U15" s="44">
        <v>218.6825</v>
      </c>
      <c r="V15" s="47">
        <v>142533.7462998</v>
      </c>
      <c r="W15" s="43">
        <v>0</v>
      </c>
      <c r="X15" s="43">
        <v>31000</v>
      </c>
      <c r="Y15" s="48">
        <f t="shared" si="11"/>
        <v>111533.7462998</v>
      </c>
      <c r="Z15" s="49">
        <v>43000</v>
      </c>
      <c r="AA15" s="43">
        <v>0</v>
      </c>
      <c r="AB15" s="43">
        <v>0</v>
      </c>
      <c r="AC15" s="43">
        <v>0</v>
      </c>
      <c r="AD15" s="43">
        <v>0</v>
      </c>
      <c r="AE15" s="44">
        <v>43000</v>
      </c>
      <c r="AF15" s="47">
        <v>0</v>
      </c>
      <c r="AG15" s="50">
        <v>0</v>
      </c>
      <c r="AH15" s="49">
        <v>26850</v>
      </c>
      <c r="AI15" s="44">
        <v>800</v>
      </c>
      <c r="AJ15" s="51" t="s">
        <v>54</v>
      </c>
    </row>
    <row r="16" spans="1:36" s="51" customFormat="1" ht="29.25" customHeight="1" x14ac:dyDescent="0.3">
      <c r="A16" s="106">
        <v>7</v>
      </c>
      <c r="B16" s="42" t="s">
        <v>55</v>
      </c>
      <c r="C16" s="102">
        <f t="shared" si="6"/>
        <v>10888276.31969256</v>
      </c>
      <c r="D16" s="103">
        <f t="shared" si="7"/>
        <v>10868276.31969256</v>
      </c>
      <c r="E16" s="104">
        <f t="shared" si="8"/>
        <v>8733410</v>
      </c>
      <c r="F16" s="43">
        <v>2355130</v>
      </c>
      <c r="G16" s="43">
        <v>104620</v>
      </c>
      <c r="H16" s="43">
        <v>6273660</v>
      </c>
      <c r="I16" s="44">
        <v>0</v>
      </c>
      <c r="J16" s="105">
        <v>136460</v>
      </c>
      <c r="K16" s="107">
        <v>30010</v>
      </c>
      <c r="L16" s="108">
        <f t="shared" si="9"/>
        <v>106450</v>
      </c>
      <c r="M16" s="45">
        <v>307960</v>
      </c>
      <c r="N16" s="46">
        <v>0</v>
      </c>
      <c r="O16" s="45">
        <v>6350</v>
      </c>
      <c r="P16" s="47">
        <v>1513020</v>
      </c>
      <c r="Q16" s="43">
        <v>1091160</v>
      </c>
      <c r="R16" s="43">
        <v>136100</v>
      </c>
      <c r="S16" s="48">
        <f t="shared" si="10"/>
        <v>285760</v>
      </c>
      <c r="T16" s="49">
        <v>12510</v>
      </c>
      <c r="U16" s="44">
        <v>461.82</v>
      </c>
      <c r="V16" s="47">
        <v>45186.319692559999</v>
      </c>
      <c r="W16" s="43">
        <v>0</v>
      </c>
      <c r="X16" s="43">
        <v>0</v>
      </c>
      <c r="Y16" s="48">
        <f t="shared" si="11"/>
        <v>45186.319692559999</v>
      </c>
      <c r="Z16" s="49">
        <v>20000</v>
      </c>
      <c r="AA16" s="43">
        <v>0</v>
      </c>
      <c r="AB16" s="43">
        <v>0</v>
      </c>
      <c r="AC16" s="43">
        <v>0</v>
      </c>
      <c r="AD16" s="43">
        <v>0</v>
      </c>
      <c r="AE16" s="44">
        <v>20000</v>
      </c>
      <c r="AF16" s="47">
        <v>0</v>
      </c>
      <c r="AG16" s="50">
        <v>0</v>
      </c>
      <c r="AH16" s="49">
        <v>113380</v>
      </c>
      <c r="AI16" s="44">
        <v>390</v>
      </c>
      <c r="AJ16" s="51" t="s">
        <v>56</v>
      </c>
    </row>
    <row r="17" spans="1:36" s="51" customFormat="1" ht="29.25" customHeight="1" x14ac:dyDescent="0.3">
      <c r="A17" s="106">
        <v>8</v>
      </c>
      <c r="B17" s="42" t="s">
        <v>57</v>
      </c>
      <c r="C17" s="102">
        <f t="shared" si="6"/>
        <v>2288924.1775833298</v>
      </c>
      <c r="D17" s="103">
        <f t="shared" si="7"/>
        <v>2282924.1775833298</v>
      </c>
      <c r="E17" s="104">
        <f t="shared" si="8"/>
        <v>1464660</v>
      </c>
      <c r="F17" s="43">
        <v>783670</v>
      </c>
      <c r="G17" s="43">
        <v>1510</v>
      </c>
      <c r="H17" s="43">
        <v>679480</v>
      </c>
      <c r="I17" s="44">
        <v>0</v>
      </c>
      <c r="J17" s="105">
        <v>99820</v>
      </c>
      <c r="K17" s="107">
        <v>16070</v>
      </c>
      <c r="L17" s="108">
        <f t="shared" si="9"/>
        <v>83750</v>
      </c>
      <c r="M17" s="45">
        <v>0</v>
      </c>
      <c r="N17" s="46">
        <v>0</v>
      </c>
      <c r="O17" s="45">
        <v>10350</v>
      </c>
      <c r="P17" s="47">
        <v>511400</v>
      </c>
      <c r="Q17" s="43">
        <v>29250</v>
      </c>
      <c r="R17" s="43">
        <v>258860</v>
      </c>
      <c r="S17" s="48">
        <f t="shared" si="10"/>
        <v>223290</v>
      </c>
      <c r="T17" s="49">
        <v>8030</v>
      </c>
      <c r="U17" s="44">
        <v>511.75244750000002</v>
      </c>
      <c r="V17" s="47">
        <v>162724.17758333002</v>
      </c>
      <c r="W17" s="43">
        <v>50000</v>
      </c>
      <c r="X17" s="43">
        <v>3180</v>
      </c>
      <c r="Y17" s="48">
        <f t="shared" si="11"/>
        <v>109544.17758333002</v>
      </c>
      <c r="Z17" s="49">
        <v>6000</v>
      </c>
      <c r="AA17" s="43">
        <v>0</v>
      </c>
      <c r="AB17" s="43">
        <v>0</v>
      </c>
      <c r="AC17" s="43">
        <v>0</v>
      </c>
      <c r="AD17" s="43">
        <v>0</v>
      </c>
      <c r="AE17" s="44">
        <v>6000</v>
      </c>
      <c r="AF17" s="47">
        <v>0</v>
      </c>
      <c r="AG17" s="50">
        <v>0</v>
      </c>
      <c r="AH17" s="49">
        <v>25940</v>
      </c>
      <c r="AI17" s="44">
        <v>200</v>
      </c>
      <c r="AJ17" s="51" t="s">
        <v>58</v>
      </c>
    </row>
    <row r="18" spans="1:36" s="51" customFormat="1" ht="29.25" customHeight="1" x14ac:dyDescent="0.3">
      <c r="A18" s="106">
        <v>9</v>
      </c>
      <c r="B18" s="42" t="s">
        <v>59</v>
      </c>
      <c r="C18" s="102">
        <f t="shared" si="6"/>
        <v>1033411.82316823</v>
      </c>
      <c r="D18" s="103">
        <f t="shared" si="7"/>
        <v>1013411.82316823</v>
      </c>
      <c r="E18" s="104">
        <f t="shared" si="8"/>
        <v>597610</v>
      </c>
      <c r="F18" s="43">
        <v>453850</v>
      </c>
      <c r="G18" s="43">
        <v>410</v>
      </c>
      <c r="H18" s="43">
        <v>143350</v>
      </c>
      <c r="I18" s="44">
        <v>0</v>
      </c>
      <c r="J18" s="105">
        <v>107520</v>
      </c>
      <c r="K18" s="107">
        <v>31950</v>
      </c>
      <c r="L18" s="108">
        <f t="shared" si="9"/>
        <v>75570</v>
      </c>
      <c r="M18" s="45">
        <v>0</v>
      </c>
      <c r="N18" s="46">
        <v>0</v>
      </c>
      <c r="O18" s="45">
        <v>8800</v>
      </c>
      <c r="P18" s="47">
        <v>175080</v>
      </c>
      <c r="Q18" s="43">
        <v>3610</v>
      </c>
      <c r="R18" s="43">
        <v>31100</v>
      </c>
      <c r="S18" s="48">
        <f t="shared" si="10"/>
        <v>140370</v>
      </c>
      <c r="T18" s="49">
        <v>49510</v>
      </c>
      <c r="U18" s="44">
        <v>221.45</v>
      </c>
      <c r="V18" s="47">
        <v>57691.823168229996</v>
      </c>
      <c r="W18" s="43">
        <v>0</v>
      </c>
      <c r="X18" s="43">
        <v>0</v>
      </c>
      <c r="Y18" s="48">
        <f t="shared" si="11"/>
        <v>57691.823168229996</v>
      </c>
      <c r="Z18" s="49">
        <v>20000</v>
      </c>
      <c r="AA18" s="43">
        <v>0</v>
      </c>
      <c r="AB18" s="43">
        <v>0</v>
      </c>
      <c r="AC18" s="43">
        <v>0</v>
      </c>
      <c r="AD18" s="43">
        <v>0</v>
      </c>
      <c r="AE18" s="44">
        <v>20000</v>
      </c>
      <c r="AF18" s="47">
        <v>0</v>
      </c>
      <c r="AG18" s="50">
        <v>0</v>
      </c>
      <c r="AH18" s="49">
        <v>17200</v>
      </c>
      <c r="AI18" s="44">
        <v>260</v>
      </c>
      <c r="AJ18" s="51" t="s">
        <v>60</v>
      </c>
    </row>
    <row r="19" spans="1:36" s="51" customFormat="1" ht="29.25" customHeight="1" x14ac:dyDescent="0.3">
      <c r="A19" s="106">
        <v>10</v>
      </c>
      <c r="B19" s="42" t="s">
        <v>61</v>
      </c>
      <c r="C19" s="102">
        <f t="shared" si="6"/>
        <v>4159586.90953197</v>
      </c>
      <c r="D19" s="103">
        <f t="shared" si="7"/>
        <v>4139586.90953197</v>
      </c>
      <c r="E19" s="104">
        <f t="shared" si="8"/>
        <v>2949880</v>
      </c>
      <c r="F19" s="43">
        <v>1625660</v>
      </c>
      <c r="G19" s="43">
        <v>1000</v>
      </c>
      <c r="H19" s="43">
        <v>1320060</v>
      </c>
      <c r="I19" s="44">
        <v>3160</v>
      </c>
      <c r="J19" s="105">
        <v>125210</v>
      </c>
      <c r="K19" s="107">
        <v>24190</v>
      </c>
      <c r="L19" s="108">
        <f t="shared" si="9"/>
        <v>101020</v>
      </c>
      <c r="M19" s="45">
        <v>2270</v>
      </c>
      <c r="N19" s="46">
        <v>0</v>
      </c>
      <c r="O19" s="45">
        <v>6900</v>
      </c>
      <c r="P19" s="47">
        <v>882670</v>
      </c>
      <c r="Q19" s="43">
        <v>0</v>
      </c>
      <c r="R19" s="43">
        <v>565760</v>
      </c>
      <c r="S19" s="48">
        <f t="shared" si="10"/>
        <v>316910</v>
      </c>
      <c r="T19" s="49">
        <v>12650</v>
      </c>
      <c r="U19" s="44">
        <v>326.16000000000003</v>
      </c>
      <c r="V19" s="47">
        <v>120216.90953197</v>
      </c>
      <c r="W19" s="43">
        <v>0</v>
      </c>
      <c r="X19" s="43">
        <v>0</v>
      </c>
      <c r="Y19" s="48">
        <f t="shared" si="11"/>
        <v>120216.90953197</v>
      </c>
      <c r="Z19" s="49">
        <v>20000</v>
      </c>
      <c r="AA19" s="43">
        <v>0</v>
      </c>
      <c r="AB19" s="43">
        <v>0</v>
      </c>
      <c r="AC19" s="43">
        <v>0</v>
      </c>
      <c r="AD19" s="43">
        <v>0</v>
      </c>
      <c r="AE19" s="44">
        <v>20000</v>
      </c>
      <c r="AF19" s="47">
        <v>0</v>
      </c>
      <c r="AG19" s="50">
        <v>0</v>
      </c>
      <c r="AH19" s="49">
        <v>39790</v>
      </c>
      <c r="AI19" s="44">
        <v>390</v>
      </c>
      <c r="AJ19" s="51" t="s">
        <v>62</v>
      </c>
    </row>
    <row r="20" spans="1:36" s="51" customFormat="1" ht="29.25" customHeight="1" x14ac:dyDescent="0.3">
      <c r="A20" s="106">
        <v>11</v>
      </c>
      <c r="B20" s="42" t="s">
        <v>63</v>
      </c>
      <c r="C20" s="102">
        <f t="shared" si="6"/>
        <v>4865531.8732853504</v>
      </c>
      <c r="D20" s="103">
        <f t="shared" si="7"/>
        <v>4776531.8732853504</v>
      </c>
      <c r="E20" s="104">
        <f t="shared" si="8"/>
        <v>3176120</v>
      </c>
      <c r="F20" s="43">
        <v>1410330</v>
      </c>
      <c r="G20" s="43">
        <v>32360</v>
      </c>
      <c r="H20" s="43">
        <v>1733430</v>
      </c>
      <c r="I20" s="44">
        <v>0</v>
      </c>
      <c r="J20" s="105">
        <v>115210</v>
      </c>
      <c r="K20" s="107">
        <v>22560</v>
      </c>
      <c r="L20" s="108">
        <f t="shared" si="9"/>
        <v>92650</v>
      </c>
      <c r="M20" s="45">
        <v>0</v>
      </c>
      <c r="N20" s="46">
        <v>0</v>
      </c>
      <c r="O20" s="45">
        <v>7000</v>
      </c>
      <c r="P20" s="47">
        <v>1116610</v>
      </c>
      <c r="Q20" s="43">
        <v>559750</v>
      </c>
      <c r="R20" s="43">
        <v>373630</v>
      </c>
      <c r="S20" s="48">
        <f t="shared" si="10"/>
        <v>183230</v>
      </c>
      <c r="T20" s="49">
        <v>8630</v>
      </c>
      <c r="U20" s="44">
        <v>531.831095</v>
      </c>
      <c r="V20" s="47">
        <v>327801.87328534998</v>
      </c>
      <c r="W20" s="43">
        <v>200000</v>
      </c>
      <c r="X20" s="43">
        <v>28120</v>
      </c>
      <c r="Y20" s="48">
        <f t="shared" si="11"/>
        <v>99681.873285349982</v>
      </c>
      <c r="Z20" s="49">
        <v>89000</v>
      </c>
      <c r="AA20" s="43">
        <v>0</v>
      </c>
      <c r="AB20" s="43">
        <v>0</v>
      </c>
      <c r="AC20" s="43">
        <v>0</v>
      </c>
      <c r="AD20" s="43">
        <v>69000</v>
      </c>
      <c r="AE20" s="44">
        <v>20000</v>
      </c>
      <c r="AF20" s="47">
        <v>0</v>
      </c>
      <c r="AG20" s="50">
        <v>0</v>
      </c>
      <c r="AH20" s="49">
        <v>25160</v>
      </c>
      <c r="AI20" s="44">
        <v>150</v>
      </c>
      <c r="AJ20" s="51" t="s">
        <v>64</v>
      </c>
    </row>
    <row r="21" spans="1:36" s="51" customFormat="1" ht="29.25" customHeight="1" x14ac:dyDescent="0.3">
      <c r="A21" s="106">
        <v>12</v>
      </c>
      <c r="B21" s="42" t="s">
        <v>65</v>
      </c>
      <c r="C21" s="102">
        <f t="shared" si="6"/>
        <v>9320115.8442035094</v>
      </c>
      <c r="D21" s="103">
        <f t="shared" si="7"/>
        <v>9053115.8442035094</v>
      </c>
      <c r="E21" s="104">
        <f t="shared" si="8"/>
        <v>5519430</v>
      </c>
      <c r="F21" s="43">
        <v>2007740</v>
      </c>
      <c r="G21" s="43">
        <v>7230</v>
      </c>
      <c r="H21" s="43">
        <v>3504460</v>
      </c>
      <c r="I21" s="44">
        <v>0</v>
      </c>
      <c r="J21" s="105">
        <v>185660</v>
      </c>
      <c r="K21" s="107">
        <v>59720</v>
      </c>
      <c r="L21" s="108">
        <f t="shared" si="9"/>
        <v>125940</v>
      </c>
      <c r="M21" s="45">
        <v>0</v>
      </c>
      <c r="N21" s="46">
        <v>0</v>
      </c>
      <c r="O21" s="45">
        <v>15000</v>
      </c>
      <c r="P21" s="47">
        <v>3153120</v>
      </c>
      <c r="Q21" s="43">
        <v>2062480</v>
      </c>
      <c r="R21" s="43">
        <v>694930</v>
      </c>
      <c r="S21" s="48">
        <f t="shared" si="10"/>
        <v>395710</v>
      </c>
      <c r="T21" s="49">
        <v>24080</v>
      </c>
      <c r="U21" s="44">
        <v>368.11750000000001</v>
      </c>
      <c r="V21" s="47">
        <v>113065.84420351</v>
      </c>
      <c r="W21" s="43">
        <v>0</v>
      </c>
      <c r="X21" s="43">
        <v>1630</v>
      </c>
      <c r="Y21" s="48">
        <f t="shared" si="11"/>
        <v>111435.84420351</v>
      </c>
      <c r="Z21" s="49">
        <v>267000</v>
      </c>
      <c r="AA21" s="43">
        <v>0</v>
      </c>
      <c r="AB21" s="43">
        <v>0</v>
      </c>
      <c r="AC21" s="43">
        <v>0</v>
      </c>
      <c r="AD21" s="43">
        <v>237000</v>
      </c>
      <c r="AE21" s="44">
        <v>30000</v>
      </c>
      <c r="AF21" s="47">
        <v>0</v>
      </c>
      <c r="AG21" s="50">
        <v>0</v>
      </c>
      <c r="AH21" s="49">
        <v>42760</v>
      </c>
      <c r="AI21" s="44">
        <v>390</v>
      </c>
      <c r="AJ21" s="51" t="s">
        <v>66</v>
      </c>
    </row>
    <row r="22" spans="1:36" s="51" customFormat="1" ht="29.25" customHeight="1" x14ac:dyDescent="0.3">
      <c r="A22" s="106">
        <v>13</v>
      </c>
      <c r="B22" s="42" t="s">
        <v>67</v>
      </c>
      <c r="C22" s="102">
        <f t="shared" si="6"/>
        <v>1948714.6593992501</v>
      </c>
      <c r="D22" s="103">
        <f t="shared" si="7"/>
        <v>1908714.6593992501</v>
      </c>
      <c r="E22" s="104">
        <f t="shared" si="8"/>
        <v>839040</v>
      </c>
      <c r="F22" s="43">
        <v>624010</v>
      </c>
      <c r="G22" s="43">
        <v>670</v>
      </c>
      <c r="H22" s="43">
        <v>214360</v>
      </c>
      <c r="I22" s="44">
        <v>0</v>
      </c>
      <c r="J22" s="105">
        <v>175510</v>
      </c>
      <c r="K22" s="107">
        <v>50980</v>
      </c>
      <c r="L22" s="108">
        <f t="shared" si="9"/>
        <v>124530</v>
      </c>
      <c r="M22" s="45">
        <v>0</v>
      </c>
      <c r="N22" s="46">
        <v>0</v>
      </c>
      <c r="O22" s="45">
        <v>7850</v>
      </c>
      <c r="P22" s="47">
        <v>749410</v>
      </c>
      <c r="Q22" s="43">
        <v>95190</v>
      </c>
      <c r="R22" s="43">
        <v>428510</v>
      </c>
      <c r="S22" s="48">
        <f t="shared" si="10"/>
        <v>225710</v>
      </c>
      <c r="T22" s="49">
        <v>8880</v>
      </c>
      <c r="U22" s="44">
        <v>181.11625000000001</v>
      </c>
      <c r="V22" s="47">
        <v>108504.65939925</v>
      </c>
      <c r="W22" s="43">
        <v>0</v>
      </c>
      <c r="X22" s="43">
        <v>5880</v>
      </c>
      <c r="Y22" s="48">
        <f t="shared" si="11"/>
        <v>102624.65939925</v>
      </c>
      <c r="Z22" s="49">
        <v>40000</v>
      </c>
      <c r="AA22" s="43">
        <v>0</v>
      </c>
      <c r="AB22" s="43">
        <v>0</v>
      </c>
      <c r="AC22" s="43">
        <v>0</v>
      </c>
      <c r="AD22" s="43">
        <v>0</v>
      </c>
      <c r="AE22" s="44">
        <v>40000</v>
      </c>
      <c r="AF22" s="47">
        <v>0</v>
      </c>
      <c r="AG22" s="50">
        <v>0</v>
      </c>
      <c r="AH22" s="49">
        <v>19520</v>
      </c>
      <c r="AI22" s="44">
        <v>260</v>
      </c>
      <c r="AJ22" s="51" t="s">
        <v>68</v>
      </c>
    </row>
    <row r="23" spans="1:36" s="51" customFormat="1" ht="29.25" customHeight="1" x14ac:dyDescent="0.3">
      <c r="A23" s="106">
        <v>14</v>
      </c>
      <c r="B23" s="42" t="s">
        <v>69</v>
      </c>
      <c r="C23" s="102">
        <f t="shared" si="6"/>
        <v>1830893.7859575499</v>
      </c>
      <c r="D23" s="103">
        <f t="shared" si="7"/>
        <v>1820893.7859575499</v>
      </c>
      <c r="E23" s="104">
        <f t="shared" si="8"/>
        <v>1203450</v>
      </c>
      <c r="F23" s="43">
        <v>735610</v>
      </c>
      <c r="G23" s="43">
        <v>870</v>
      </c>
      <c r="H23" s="43">
        <v>466970</v>
      </c>
      <c r="I23" s="44">
        <v>0</v>
      </c>
      <c r="J23" s="105">
        <v>134140</v>
      </c>
      <c r="K23" s="107">
        <v>34480</v>
      </c>
      <c r="L23" s="108">
        <f t="shared" si="9"/>
        <v>99660</v>
      </c>
      <c r="M23" s="45">
        <v>0</v>
      </c>
      <c r="N23" s="46">
        <v>0</v>
      </c>
      <c r="O23" s="45">
        <v>12300</v>
      </c>
      <c r="P23" s="47">
        <v>372990</v>
      </c>
      <c r="Q23" s="43">
        <v>0</v>
      </c>
      <c r="R23" s="43">
        <v>137000</v>
      </c>
      <c r="S23" s="48">
        <f t="shared" si="10"/>
        <v>235990</v>
      </c>
      <c r="T23" s="49">
        <v>8700</v>
      </c>
      <c r="U23" s="44">
        <v>343.91500000000002</v>
      </c>
      <c r="V23" s="47">
        <v>43933.785957549997</v>
      </c>
      <c r="W23" s="43">
        <v>0</v>
      </c>
      <c r="X23" s="43">
        <v>0</v>
      </c>
      <c r="Y23" s="48">
        <f t="shared" si="11"/>
        <v>43933.785957549997</v>
      </c>
      <c r="Z23" s="49">
        <v>10000</v>
      </c>
      <c r="AA23" s="43">
        <v>0</v>
      </c>
      <c r="AB23" s="43">
        <v>0</v>
      </c>
      <c r="AC23" s="43">
        <v>0</v>
      </c>
      <c r="AD23" s="43">
        <v>0</v>
      </c>
      <c r="AE23" s="44">
        <v>10000</v>
      </c>
      <c r="AF23" s="47">
        <v>0</v>
      </c>
      <c r="AG23" s="50">
        <v>0</v>
      </c>
      <c r="AH23" s="49">
        <v>45380</v>
      </c>
      <c r="AI23" s="44">
        <v>520</v>
      </c>
      <c r="AJ23" s="51" t="s">
        <v>70</v>
      </c>
    </row>
    <row r="24" spans="1:36" s="51" customFormat="1" ht="29.25" customHeight="1" x14ac:dyDescent="0.3">
      <c r="A24" s="106">
        <v>15</v>
      </c>
      <c r="B24" s="42" t="s">
        <v>71</v>
      </c>
      <c r="C24" s="102">
        <f t="shared" si="6"/>
        <v>6300271.1751754172</v>
      </c>
      <c r="D24" s="103">
        <f t="shared" si="7"/>
        <v>5771271.1751754172</v>
      </c>
      <c r="E24" s="104">
        <f t="shared" si="8"/>
        <v>4156840</v>
      </c>
      <c r="F24" s="43">
        <v>2763960</v>
      </c>
      <c r="G24" s="43">
        <v>1670</v>
      </c>
      <c r="H24" s="43">
        <v>1391210</v>
      </c>
      <c r="I24" s="44">
        <v>0</v>
      </c>
      <c r="J24" s="105">
        <v>286130</v>
      </c>
      <c r="K24" s="107">
        <v>73590</v>
      </c>
      <c r="L24" s="108">
        <f>J24-K24</f>
        <v>212540</v>
      </c>
      <c r="M24" s="45">
        <v>190</v>
      </c>
      <c r="N24" s="46">
        <v>0</v>
      </c>
      <c r="O24" s="45">
        <v>9500</v>
      </c>
      <c r="P24" s="47">
        <v>1106620</v>
      </c>
      <c r="Q24" s="43">
        <v>0</v>
      </c>
      <c r="R24" s="43">
        <v>353400</v>
      </c>
      <c r="S24" s="48">
        <f t="shared" si="10"/>
        <v>753220</v>
      </c>
      <c r="T24" s="49">
        <v>21820</v>
      </c>
      <c r="U24" s="44">
        <v>107.845</v>
      </c>
      <c r="V24" s="47">
        <v>81851.175175417142</v>
      </c>
      <c r="W24" s="43">
        <v>0</v>
      </c>
      <c r="X24" s="43">
        <v>0</v>
      </c>
      <c r="Y24" s="48">
        <f t="shared" si="11"/>
        <v>81851.175175417142</v>
      </c>
      <c r="Z24" s="49">
        <v>529000</v>
      </c>
      <c r="AA24" s="43">
        <v>0</v>
      </c>
      <c r="AB24" s="43">
        <v>0</v>
      </c>
      <c r="AC24" s="43">
        <v>0</v>
      </c>
      <c r="AD24" s="43">
        <v>514000</v>
      </c>
      <c r="AE24" s="44">
        <v>15000</v>
      </c>
      <c r="AF24" s="47">
        <v>0</v>
      </c>
      <c r="AG24" s="50">
        <v>0</v>
      </c>
      <c r="AH24" s="49">
        <v>108320</v>
      </c>
      <c r="AI24" s="44">
        <v>780</v>
      </c>
      <c r="AJ24" s="51" t="s">
        <v>72</v>
      </c>
    </row>
    <row r="25" spans="1:36" s="51" customFormat="1" ht="29.25" customHeight="1" x14ac:dyDescent="0.3">
      <c r="A25" s="106">
        <v>16</v>
      </c>
      <c r="B25" s="42" t="s">
        <v>73</v>
      </c>
      <c r="C25" s="102">
        <f t="shared" si="6"/>
        <v>5684778.0091195069</v>
      </c>
      <c r="D25" s="103">
        <f t="shared" si="7"/>
        <v>3544778.0091195069</v>
      </c>
      <c r="E25" s="104">
        <f t="shared" si="8"/>
        <v>1044550</v>
      </c>
      <c r="F25" s="43">
        <v>640770</v>
      </c>
      <c r="G25" s="43">
        <v>2090</v>
      </c>
      <c r="H25" s="43">
        <v>401690</v>
      </c>
      <c r="I25" s="44">
        <v>0</v>
      </c>
      <c r="J25" s="105">
        <v>135200</v>
      </c>
      <c r="K25" s="107">
        <v>23380</v>
      </c>
      <c r="L25" s="108">
        <f t="shared" si="9"/>
        <v>111820</v>
      </c>
      <c r="M25" s="45">
        <v>190</v>
      </c>
      <c r="N25" s="46">
        <v>0</v>
      </c>
      <c r="O25" s="45">
        <v>12800</v>
      </c>
      <c r="P25" s="47">
        <v>271950</v>
      </c>
      <c r="Q25" s="43">
        <v>0</v>
      </c>
      <c r="R25" s="43">
        <v>58940</v>
      </c>
      <c r="S25" s="48">
        <f t="shared" si="10"/>
        <v>213010</v>
      </c>
      <c r="T25" s="49">
        <v>6020</v>
      </c>
      <c r="U25" s="44">
        <v>571.89250000000004</v>
      </c>
      <c r="V25" s="47">
        <v>1972058.0091195069</v>
      </c>
      <c r="W25" s="43">
        <v>1900000</v>
      </c>
      <c r="X25" s="43">
        <v>3420</v>
      </c>
      <c r="Y25" s="48">
        <f t="shared" si="11"/>
        <v>68638.009119506925</v>
      </c>
      <c r="Z25" s="49">
        <v>2140000</v>
      </c>
      <c r="AA25" s="43">
        <v>0</v>
      </c>
      <c r="AB25" s="43">
        <v>0</v>
      </c>
      <c r="AC25" s="43">
        <v>0</v>
      </c>
      <c r="AD25" s="43">
        <v>2125000</v>
      </c>
      <c r="AE25" s="44">
        <v>15000</v>
      </c>
      <c r="AF25" s="47">
        <v>0</v>
      </c>
      <c r="AG25" s="50">
        <v>0</v>
      </c>
      <c r="AH25" s="49">
        <v>102010</v>
      </c>
      <c r="AI25" s="44">
        <v>910</v>
      </c>
      <c r="AJ25" s="51" t="s">
        <v>74</v>
      </c>
    </row>
    <row r="26" spans="1:36" s="51" customFormat="1" ht="29.25" customHeight="1" x14ac:dyDescent="0.3">
      <c r="A26" s="106">
        <v>17</v>
      </c>
      <c r="B26" s="42" t="s">
        <v>75</v>
      </c>
      <c r="C26" s="102">
        <f t="shared" si="6"/>
        <v>1600904.0616207772</v>
      </c>
      <c r="D26" s="103">
        <f t="shared" si="7"/>
        <v>1585904.0616207772</v>
      </c>
      <c r="E26" s="104">
        <f t="shared" si="8"/>
        <v>1118250</v>
      </c>
      <c r="F26" s="43">
        <v>814520</v>
      </c>
      <c r="G26" s="43">
        <v>3820</v>
      </c>
      <c r="H26" s="43">
        <v>299910</v>
      </c>
      <c r="I26" s="44">
        <v>0</v>
      </c>
      <c r="J26" s="105">
        <v>114620</v>
      </c>
      <c r="K26" s="107">
        <v>18460</v>
      </c>
      <c r="L26" s="108">
        <f>J26-K26</f>
        <v>96160</v>
      </c>
      <c r="M26" s="45">
        <v>0</v>
      </c>
      <c r="N26" s="46">
        <v>0</v>
      </c>
      <c r="O26" s="45">
        <v>8000</v>
      </c>
      <c r="P26" s="47">
        <v>218990</v>
      </c>
      <c r="Q26" s="43">
        <v>0</v>
      </c>
      <c r="R26" s="43">
        <v>43680</v>
      </c>
      <c r="S26" s="48">
        <f t="shared" si="10"/>
        <v>175310</v>
      </c>
      <c r="T26" s="49">
        <v>5250</v>
      </c>
      <c r="U26" s="44">
        <v>275.27999999999997</v>
      </c>
      <c r="V26" s="47">
        <v>59754.061620777138</v>
      </c>
      <c r="W26" s="43">
        <v>0</v>
      </c>
      <c r="X26" s="43">
        <v>380</v>
      </c>
      <c r="Y26" s="48">
        <f t="shared" si="11"/>
        <v>59374.061620777138</v>
      </c>
      <c r="Z26" s="49">
        <v>15000</v>
      </c>
      <c r="AA26" s="43">
        <v>0</v>
      </c>
      <c r="AB26" s="43">
        <v>0</v>
      </c>
      <c r="AC26" s="43">
        <v>0</v>
      </c>
      <c r="AD26" s="43">
        <v>0</v>
      </c>
      <c r="AE26" s="44">
        <v>15000</v>
      </c>
      <c r="AF26" s="47">
        <v>0</v>
      </c>
      <c r="AG26" s="50">
        <v>0</v>
      </c>
      <c r="AH26" s="49">
        <v>61040</v>
      </c>
      <c r="AI26" s="44">
        <v>520</v>
      </c>
      <c r="AJ26" s="51" t="s">
        <v>76</v>
      </c>
    </row>
    <row r="27" spans="1:36" s="51" customFormat="1" ht="29.25" customHeight="1" x14ac:dyDescent="0.3">
      <c r="A27" s="106">
        <v>18</v>
      </c>
      <c r="B27" s="42" t="s">
        <v>77</v>
      </c>
      <c r="C27" s="102">
        <f t="shared" si="6"/>
        <v>3819796.8532412201</v>
      </c>
      <c r="D27" s="103">
        <f t="shared" si="7"/>
        <v>2815896.8532412201</v>
      </c>
      <c r="E27" s="104">
        <f t="shared" si="8"/>
        <v>1823670</v>
      </c>
      <c r="F27" s="43">
        <v>1101050</v>
      </c>
      <c r="G27" s="43">
        <v>1300</v>
      </c>
      <c r="H27" s="43">
        <v>721320</v>
      </c>
      <c r="I27" s="44">
        <v>0</v>
      </c>
      <c r="J27" s="105">
        <v>217530</v>
      </c>
      <c r="K27" s="107">
        <v>72280</v>
      </c>
      <c r="L27" s="108">
        <f t="shared" si="9"/>
        <v>145250</v>
      </c>
      <c r="M27" s="45">
        <v>8000</v>
      </c>
      <c r="N27" s="46">
        <v>0</v>
      </c>
      <c r="O27" s="45">
        <v>18800</v>
      </c>
      <c r="P27" s="47">
        <v>560600</v>
      </c>
      <c r="Q27" s="43">
        <v>0</v>
      </c>
      <c r="R27" s="43">
        <v>316600</v>
      </c>
      <c r="S27" s="48">
        <f t="shared" si="10"/>
        <v>244000</v>
      </c>
      <c r="T27" s="49">
        <v>12200</v>
      </c>
      <c r="U27" s="44">
        <v>32.914999999999999</v>
      </c>
      <c r="V27" s="47">
        <v>146176.85324122</v>
      </c>
      <c r="W27" s="43">
        <v>0</v>
      </c>
      <c r="X27" s="43">
        <v>9040</v>
      </c>
      <c r="Y27" s="48">
        <f t="shared" si="11"/>
        <v>137136.85324122</v>
      </c>
      <c r="Z27" s="49">
        <v>1003900</v>
      </c>
      <c r="AA27" s="43">
        <v>32900</v>
      </c>
      <c r="AB27" s="43">
        <v>0</v>
      </c>
      <c r="AC27" s="43">
        <v>0</v>
      </c>
      <c r="AD27" s="43">
        <v>963000</v>
      </c>
      <c r="AE27" s="44">
        <v>8000</v>
      </c>
      <c r="AF27" s="47">
        <v>0</v>
      </c>
      <c r="AG27" s="50">
        <v>0</v>
      </c>
      <c r="AH27" s="49">
        <v>28920</v>
      </c>
      <c r="AI27" s="44">
        <v>1170</v>
      </c>
      <c r="AJ27" s="51" t="s">
        <v>78</v>
      </c>
    </row>
    <row r="28" spans="1:36" s="51" customFormat="1" ht="29.25" customHeight="1" x14ac:dyDescent="0.3">
      <c r="A28" s="106">
        <v>19</v>
      </c>
      <c r="B28" s="42" t="s">
        <v>79</v>
      </c>
      <c r="C28" s="102">
        <f t="shared" si="6"/>
        <v>13694240.202656269</v>
      </c>
      <c r="D28" s="103">
        <f t="shared" si="7"/>
        <v>686240.20265626907</v>
      </c>
      <c r="E28" s="104">
        <f t="shared" si="8"/>
        <v>329890</v>
      </c>
      <c r="F28" s="43">
        <v>246230</v>
      </c>
      <c r="G28" s="43">
        <v>400</v>
      </c>
      <c r="H28" s="43">
        <v>83260</v>
      </c>
      <c r="I28" s="44">
        <v>0</v>
      </c>
      <c r="J28" s="105">
        <v>139320</v>
      </c>
      <c r="K28" s="107">
        <v>82200</v>
      </c>
      <c r="L28" s="108">
        <f t="shared" si="9"/>
        <v>57120</v>
      </c>
      <c r="M28" s="45">
        <v>0</v>
      </c>
      <c r="N28" s="46">
        <v>0</v>
      </c>
      <c r="O28" s="45">
        <v>20140</v>
      </c>
      <c r="P28" s="47">
        <v>155330</v>
      </c>
      <c r="Q28" s="43">
        <v>0</v>
      </c>
      <c r="R28" s="43">
        <v>2830</v>
      </c>
      <c r="S28" s="48">
        <f t="shared" si="10"/>
        <v>152500</v>
      </c>
      <c r="T28" s="49">
        <v>10290</v>
      </c>
      <c r="U28" s="44">
        <v>38.967500000000001</v>
      </c>
      <c r="V28" s="47">
        <v>7130.2026562699994</v>
      </c>
      <c r="W28" s="43">
        <v>0</v>
      </c>
      <c r="X28" s="43">
        <v>2220</v>
      </c>
      <c r="Y28" s="48">
        <f t="shared" si="11"/>
        <v>4910.2026562699994</v>
      </c>
      <c r="Z28" s="49">
        <v>13008000</v>
      </c>
      <c r="AA28" s="43">
        <v>0</v>
      </c>
      <c r="AB28" s="43">
        <v>0</v>
      </c>
      <c r="AC28" s="43">
        <v>0</v>
      </c>
      <c r="AD28" s="43">
        <v>13000000</v>
      </c>
      <c r="AE28" s="44">
        <v>8000</v>
      </c>
      <c r="AF28" s="47">
        <v>0</v>
      </c>
      <c r="AG28" s="50">
        <v>450</v>
      </c>
      <c r="AH28" s="49">
        <v>23690</v>
      </c>
      <c r="AI28" s="44">
        <v>260</v>
      </c>
      <c r="AJ28" s="51" t="s">
        <v>80</v>
      </c>
    </row>
    <row r="29" spans="1:36" s="51" customFormat="1" ht="29.25" customHeight="1" x14ac:dyDescent="0.3">
      <c r="A29" s="106">
        <v>20</v>
      </c>
      <c r="B29" s="42" t="s">
        <v>81</v>
      </c>
      <c r="C29" s="102">
        <f t="shared" si="6"/>
        <v>9298478.7966040596</v>
      </c>
      <c r="D29" s="103">
        <f t="shared" si="7"/>
        <v>8699178.7966040596</v>
      </c>
      <c r="E29" s="104">
        <f t="shared" si="8"/>
        <v>6224300</v>
      </c>
      <c r="F29" s="43">
        <v>3018620</v>
      </c>
      <c r="G29" s="43">
        <v>2460</v>
      </c>
      <c r="H29" s="43">
        <v>3203220</v>
      </c>
      <c r="I29" s="44">
        <v>0</v>
      </c>
      <c r="J29" s="105">
        <v>226240</v>
      </c>
      <c r="K29" s="107">
        <v>55480</v>
      </c>
      <c r="L29" s="108">
        <f t="shared" si="9"/>
        <v>170760</v>
      </c>
      <c r="M29" s="45">
        <v>0</v>
      </c>
      <c r="N29" s="46">
        <v>0</v>
      </c>
      <c r="O29" s="45">
        <v>15400</v>
      </c>
      <c r="P29" s="47">
        <v>2025670</v>
      </c>
      <c r="Q29" s="43">
        <v>654760</v>
      </c>
      <c r="R29" s="43">
        <v>765980</v>
      </c>
      <c r="S29" s="48">
        <f t="shared" si="10"/>
        <v>604930</v>
      </c>
      <c r="T29" s="49">
        <v>37150</v>
      </c>
      <c r="U29" s="44">
        <v>0</v>
      </c>
      <c r="V29" s="47">
        <v>104358.79660406</v>
      </c>
      <c r="W29" s="43">
        <v>0</v>
      </c>
      <c r="X29" s="43">
        <v>500</v>
      </c>
      <c r="Y29" s="48">
        <f t="shared" si="11"/>
        <v>103858.79660406</v>
      </c>
      <c r="Z29" s="49">
        <v>599300</v>
      </c>
      <c r="AA29" s="43">
        <v>491300</v>
      </c>
      <c r="AB29" s="43">
        <v>0</v>
      </c>
      <c r="AC29" s="43">
        <v>0</v>
      </c>
      <c r="AD29" s="43">
        <v>98000</v>
      </c>
      <c r="AE29" s="44">
        <v>10000</v>
      </c>
      <c r="AF29" s="47">
        <v>0</v>
      </c>
      <c r="AG29" s="50">
        <v>0</v>
      </c>
      <c r="AH29" s="49">
        <v>66060</v>
      </c>
      <c r="AI29" s="44">
        <v>260</v>
      </c>
      <c r="AJ29" s="51" t="s">
        <v>82</v>
      </c>
    </row>
    <row r="30" spans="1:36" s="51" customFormat="1" ht="29.25" customHeight="1" x14ac:dyDescent="0.3">
      <c r="A30" s="106">
        <v>21</v>
      </c>
      <c r="B30" s="42" t="s">
        <v>83</v>
      </c>
      <c r="C30" s="102">
        <f t="shared" si="6"/>
        <v>2466708.9817897901</v>
      </c>
      <c r="D30" s="103">
        <f t="shared" si="7"/>
        <v>2456708.9817897901</v>
      </c>
      <c r="E30" s="104">
        <f t="shared" si="8"/>
        <v>1763170</v>
      </c>
      <c r="F30" s="43">
        <v>1035870</v>
      </c>
      <c r="G30" s="43">
        <v>2020</v>
      </c>
      <c r="H30" s="43">
        <v>725280</v>
      </c>
      <c r="I30" s="44">
        <v>0</v>
      </c>
      <c r="J30" s="105">
        <v>182830</v>
      </c>
      <c r="K30" s="107">
        <v>31960</v>
      </c>
      <c r="L30" s="108">
        <f t="shared" si="9"/>
        <v>150870</v>
      </c>
      <c r="M30" s="45">
        <v>960</v>
      </c>
      <c r="N30" s="46">
        <v>0</v>
      </c>
      <c r="O30" s="45">
        <v>10600</v>
      </c>
      <c r="P30" s="47">
        <v>406470</v>
      </c>
      <c r="Q30" s="43">
        <v>0</v>
      </c>
      <c r="R30" s="43">
        <v>98500</v>
      </c>
      <c r="S30" s="48">
        <f t="shared" si="10"/>
        <v>307970</v>
      </c>
      <c r="T30" s="49">
        <v>9900</v>
      </c>
      <c r="U30" s="44">
        <v>244.065</v>
      </c>
      <c r="V30" s="47">
        <v>51208.981789789999</v>
      </c>
      <c r="W30" s="43">
        <v>0</v>
      </c>
      <c r="X30" s="43">
        <v>740</v>
      </c>
      <c r="Y30" s="48">
        <f t="shared" si="11"/>
        <v>50468.981789789999</v>
      </c>
      <c r="Z30" s="49">
        <v>10000</v>
      </c>
      <c r="AA30" s="43">
        <v>0</v>
      </c>
      <c r="AB30" s="43">
        <v>0</v>
      </c>
      <c r="AC30" s="43">
        <v>0</v>
      </c>
      <c r="AD30" s="43">
        <v>0</v>
      </c>
      <c r="AE30" s="44">
        <v>10000</v>
      </c>
      <c r="AF30" s="47">
        <v>0</v>
      </c>
      <c r="AG30" s="50">
        <v>0</v>
      </c>
      <c r="AH30" s="49">
        <v>31570</v>
      </c>
      <c r="AI30" s="44">
        <v>390</v>
      </c>
      <c r="AJ30" s="51" t="s">
        <v>84</v>
      </c>
    </row>
    <row r="31" spans="1:36" s="51" customFormat="1" ht="29.25" customHeight="1" x14ac:dyDescent="0.3">
      <c r="A31" s="106">
        <v>22</v>
      </c>
      <c r="B31" s="42" t="s">
        <v>85</v>
      </c>
      <c r="C31" s="102">
        <f t="shared" si="6"/>
        <v>17404119.317170046</v>
      </c>
      <c r="D31" s="103">
        <f t="shared" si="7"/>
        <v>17063819.317170046</v>
      </c>
      <c r="E31" s="104">
        <f t="shared" si="8"/>
        <v>12805590</v>
      </c>
      <c r="F31" s="43">
        <v>3348410</v>
      </c>
      <c r="G31" s="43">
        <v>3020</v>
      </c>
      <c r="H31" s="43">
        <v>9454160</v>
      </c>
      <c r="I31" s="44">
        <v>0</v>
      </c>
      <c r="J31" s="105">
        <v>296970</v>
      </c>
      <c r="K31" s="107">
        <v>90820</v>
      </c>
      <c r="L31" s="108">
        <f t="shared" si="9"/>
        <v>206150</v>
      </c>
      <c r="M31" s="45">
        <v>1390</v>
      </c>
      <c r="N31" s="46">
        <v>0</v>
      </c>
      <c r="O31" s="45">
        <v>11400</v>
      </c>
      <c r="P31" s="47">
        <v>3563540</v>
      </c>
      <c r="Q31" s="43">
        <v>2460950</v>
      </c>
      <c r="R31" s="43">
        <v>400730</v>
      </c>
      <c r="S31" s="48">
        <f t="shared" si="10"/>
        <v>701860</v>
      </c>
      <c r="T31" s="49">
        <v>119920</v>
      </c>
      <c r="U31" s="44">
        <v>460.4325</v>
      </c>
      <c r="V31" s="47">
        <v>106219.31717004714</v>
      </c>
      <c r="W31" s="43">
        <v>0</v>
      </c>
      <c r="X31" s="43">
        <v>8700</v>
      </c>
      <c r="Y31" s="48">
        <f t="shared" si="11"/>
        <v>97519.317170047143</v>
      </c>
      <c r="Z31" s="49">
        <v>340300</v>
      </c>
      <c r="AA31" s="43">
        <v>29300</v>
      </c>
      <c r="AB31" s="43">
        <v>0</v>
      </c>
      <c r="AC31" s="43">
        <v>0</v>
      </c>
      <c r="AD31" s="43">
        <v>301000</v>
      </c>
      <c r="AE31" s="44">
        <v>10000</v>
      </c>
      <c r="AF31" s="47">
        <v>0</v>
      </c>
      <c r="AG31" s="50">
        <v>0</v>
      </c>
      <c r="AH31" s="49">
        <v>158790</v>
      </c>
      <c r="AI31" s="44">
        <v>10000</v>
      </c>
      <c r="AJ31" s="51" t="s">
        <v>86</v>
      </c>
    </row>
    <row r="32" spans="1:36" s="51" customFormat="1" ht="29.25" customHeight="1" x14ac:dyDescent="0.3">
      <c r="A32" s="106">
        <v>23</v>
      </c>
      <c r="B32" s="42" t="s">
        <v>87</v>
      </c>
      <c r="C32" s="102">
        <f t="shared" si="6"/>
        <v>496786.11675905</v>
      </c>
      <c r="D32" s="103">
        <f t="shared" si="7"/>
        <v>210286.11675905</v>
      </c>
      <c r="E32" s="104">
        <f t="shared" si="8"/>
        <v>113600</v>
      </c>
      <c r="F32" s="43">
        <v>75390</v>
      </c>
      <c r="G32" s="43">
        <v>220</v>
      </c>
      <c r="H32" s="43">
        <v>37990</v>
      </c>
      <c r="I32" s="44">
        <v>0</v>
      </c>
      <c r="J32" s="105">
        <v>21690</v>
      </c>
      <c r="K32" s="107">
        <v>3630</v>
      </c>
      <c r="L32" s="108">
        <f t="shared" si="9"/>
        <v>18060</v>
      </c>
      <c r="M32" s="45">
        <v>0</v>
      </c>
      <c r="N32" s="46">
        <v>0</v>
      </c>
      <c r="O32" s="45">
        <v>2600</v>
      </c>
      <c r="P32" s="47">
        <v>32540</v>
      </c>
      <c r="Q32" s="43">
        <v>0</v>
      </c>
      <c r="R32" s="43">
        <v>230</v>
      </c>
      <c r="S32" s="48">
        <f t="shared" si="10"/>
        <v>32310</v>
      </c>
      <c r="T32" s="49">
        <v>1670</v>
      </c>
      <c r="U32" s="44">
        <v>173.38749999999999</v>
      </c>
      <c r="V32" s="47">
        <v>33346.116759049997</v>
      </c>
      <c r="W32" s="43">
        <v>0</v>
      </c>
      <c r="X32" s="43">
        <v>0</v>
      </c>
      <c r="Y32" s="48">
        <f t="shared" si="11"/>
        <v>33346.116759049997</v>
      </c>
      <c r="Z32" s="49">
        <v>286500</v>
      </c>
      <c r="AA32" s="43">
        <v>0</v>
      </c>
      <c r="AB32" s="43">
        <v>0</v>
      </c>
      <c r="AC32" s="43">
        <v>0</v>
      </c>
      <c r="AD32" s="43">
        <v>286000</v>
      </c>
      <c r="AE32" s="44">
        <v>500</v>
      </c>
      <c r="AF32" s="47">
        <v>0</v>
      </c>
      <c r="AG32" s="50">
        <v>0</v>
      </c>
      <c r="AH32" s="49">
        <v>4840</v>
      </c>
      <c r="AI32" s="44">
        <v>260</v>
      </c>
      <c r="AJ32" s="51" t="s">
        <v>88</v>
      </c>
    </row>
    <row r="33" spans="1:36" s="51" customFormat="1" ht="29.25" customHeight="1" x14ac:dyDescent="0.3">
      <c r="A33" s="106">
        <v>24</v>
      </c>
      <c r="B33" s="42" t="s">
        <v>89</v>
      </c>
      <c r="C33" s="102">
        <f t="shared" si="6"/>
        <v>2384500.9999386799</v>
      </c>
      <c r="D33" s="103">
        <f t="shared" si="7"/>
        <v>1416000.9999386799</v>
      </c>
      <c r="E33" s="104">
        <f t="shared" si="8"/>
        <v>948930</v>
      </c>
      <c r="F33" s="43">
        <v>720870</v>
      </c>
      <c r="G33" s="43">
        <v>1200</v>
      </c>
      <c r="H33" s="43">
        <v>226840</v>
      </c>
      <c r="I33" s="44">
        <v>20</v>
      </c>
      <c r="J33" s="105">
        <v>122050</v>
      </c>
      <c r="K33" s="107">
        <v>38070</v>
      </c>
      <c r="L33" s="108">
        <f t="shared" si="9"/>
        <v>83980</v>
      </c>
      <c r="M33" s="45">
        <v>260</v>
      </c>
      <c r="N33" s="46">
        <v>0</v>
      </c>
      <c r="O33" s="45">
        <v>16200</v>
      </c>
      <c r="P33" s="47">
        <v>218320</v>
      </c>
      <c r="Q33" s="43">
        <v>0</v>
      </c>
      <c r="R33" s="43">
        <v>42760</v>
      </c>
      <c r="S33" s="48">
        <f t="shared" si="10"/>
        <v>175560</v>
      </c>
      <c r="T33" s="49">
        <v>9240</v>
      </c>
      <c r="U33" s="44">
        <v>91.052499999999995</v>
      </c>
      <c r="V33" s="47">
        <v>74640.99993867999</v>
      </c>
      <c r="W33" s="43">
        <v>0</v>
      </c>
      <c r="X33" s="43">
        <v>0</v>
      </c>
      <c r="Y33" s="48">
        <f t="shared" si="11"/>
        <v>74640.99993867999</v>
      </c>
      <c r="Z33" s="49">
        <v>968500</v>
      </c>
      <c r="AA33" s="43">
        <v>231500</v>
      </c>
      <c r="AB33" s="43">
        <v>0</v>
      </c>
      <c r="AC33" s="43">
        <v>0</v>
      </c>
      <c r="AD33" s="43">
        <v>730000</v>
      </c>
      <c r="AE33" s="44">
        <v>7000</v>
      </c>
      <c r="AF33" s="47">
        <v>0</v>
      </c>
      <c r="AG33" s="50">
        <v>0</v>
      </c>
      <c r="AH33" s="49">
        <v>26360</v>
      </c>
      <c r="AI33" s="44">
        <v>260</v>
      </c>
      <c r="AJ33" s="51" t="s">
        <v>90</v>
      </c>
    </row>
    <row r="34" spans="1:36" s="51" customFormat="1" ht="29.25" customHeight="1" x14ac:dyDescent="0.3">
      <c r="A34" s="106">
        <v>25</v>
      </c>
      <c r="B34" s="42" t="s">
        <v>91</v>
      </c>
      <c r="C34" s="102">
        <f t="shared" si="6"/>
        <v>2259583.7623815797</v>
      </c>
      <c r="D34" s="103">
        <f t="shared" si="7"/>
        <v>722783.76238157973</v>
      </c>
      <c r="E34" s="104">
        <f t="shared" si="8"/>
        <v>396990</v>
      </c>
      <c r="F34" s="43">
        <v>293780</v>
      </c>
      <c r="G34" s="43">
        <v>1150</v>
      </c>
      <c r="H34" s="43">
        <v>102060</v>
      </c>
      <c r="I34" s="44">
        <v>0</v>
      </c>
      <c r="J34" s="105">
        <v>58360</v>
      </c>
      <c r="K34" s="107">
        <v>9030</v>
      </c>
      <c r="L34" s="108">
        <f t="shared" si="9"/>
        <v>49330</v>
      </c>
      <c r="M34" s="45">
        <v>250</v>
      </c>
      <c r="N34" s="46">
        <v>0</v>
      </c>
      <c r="O34" s="45">
        <v>8950</v>
      </c>
      <c r="P34" s="47">
        <v>171060</v>
      </c>
      <c r="Q34" s="43">
        <v>0</v>
      </c>
      <c r="R34" s="43">
        <v>3630</v>
      </c>
      <c r="S34" s="48">
        <f t="shared" si="10"/>
        <v>167430</v>
      </c>
      <c r="T34" s="49">
        <v>8620</v>
      </c>
      <c r="U34" s="44">
        <v>188.92250000000001</v>
      </c>
      <c r="V34" s="47">
        <v>53193.762381580003</v>
      </c>
      <c r="W34" s="43">
        <v>0</v>
      </c>
      <c r="X34" s="43">
        <v>0</v>
      </c>
      <c r="Y34" s="48">
        <f t="shared" si="11"/>
        <v>53193.762381580003</v>
      </c>
      <c r="Z34" s="49">
        <v>1536800</v>
      </c>
      <c r="AA34" s="43">
        <v>501800</v>
      </c>
      <c r="AB34" s="43">
        <v>0</v>
      </c>
      <c r="AC34" s="43">
        <v>0</v>
      </c>
      <c r="AD34" s="43">
        <v>1028000</v>
      </c>
      <c r="AE34" s="44">
        <v>7000</v>
      </c>
      <c r="AF34" s="47">
        <v>0</v>
      </c>
      <c r="AG34" s="50">
        <v>0</v>
      </c>
      <c r="AH34" s="49">
        <v>25360</v>
      </c>
      <c r="AI34" s="44">
        <v>260</v>
      </c>
      <c r="AJ34" s="51" t="s">
        <v>92</v>
      </c>
    </row>
    <row r="35" spans="1:36" s="51" customFormat="1" ht="29.25" customHeight="1" x14ac:dyDescent="0.3">
      <c r="A35" s="106">
        <v>26</v>
      </c>
      <c r="B35" s="42" t="s">
        <v>93</v>
      </c>
      <c r="C35" s="102">
        <f t="shared" si="6"/>
        <v>1472034.1456772271</v>
      </c>
      <c r="D35" s="103">
        <f t="shared" si="7"/>
        <v>1465034.1456772271</v>
      </c>
      <c r="E35" s="104">
        <f t="shared" si="8"/>
        <v>1066060</v>
      </c>
      <c r="F35" s="43">
        <v>670800</v>
      </c>
      <c r="G35" s="43">
        <v>1100</v>
      </c>
      <c r="H35" s="43">
        <v>394160</v>
      </c>
      <c r="I35" s="44">
        <v>0</v>
      </c>
      <c r="J35" s="105">
        <v>125860</v>
      </c>
      <c r="K35" s="107">
        <v>44390</v>
      </c>
      <c r="L35" s="108">
        <f t="shared" si="9"/>
        <v>81470</v>
      </c>
      <c r="M35" s="45">
        <v>710</v>
      </c>
      <c r="N35" s="46">
        <v>0</v>
      </c>
      <c r="O35" s="45">
        <v>8700</v>
      </c>
      <c r="P35" s="47">
        <v>172240</v>
      </c>
      <c r="Q35" s="43">
        <v>0</v>
      </c>
      <c r="R35" s="43">
        <v>11510</v>
      </c>
      <c r="S35" s="48">
        <f t="shared" si="10"/>
        <v>160730</v>
      </c>
      <c r="T35" s="49">
        <v>8340</v>
      </c>
      <c r="U35" s="44">
        <v>448.315</v>
      </c>
      <c r="V35" s="47">
        <v>58599.145677227141</v>
      </c>
      <c r="W35" s="43">
        <v>0</v>
      </c>
      <c r="X35" s="43">
        <v>0</v>
      </c>
      <c r="Y35" s="48">
        <f t="shared" si="11"/>
        <v>58599.145677227141</v>
      </c>
      <c r="Z35" s="49">
        <v>7000</v>
      </c>
      <c r="AA35" s="43">
        <v>0</v>
      </c>
      <c r="AB35" s="43">
        <v>0</v>
      </c>
      <c r="AC35" s="43">
        <v>0</v>
      </c>
      <c r="AD35" s="43">
        <v>0</v>
      </c>
      <c r="AE35" s="44">
        <v>7000</v>
      </c>
      <c r="AF35" s="47">
        <v>275</v>
      </c>
      <c r="AG35" s="50">
        <v>0</v>
      </c>
      <c r="AH35" s="49">
        <v>24250</v>
      </c>
      <c r="AI35" s="44">
        <v>260</v>
      </c>
      <c r="AJ35" s="51" t="s">
        <v>94</v>
      </c>
    </row>
    <row r="36" spans="1:36" s="51" customFormat="1" ht="29.25" customHeight="1" x14ac:dyDescent="0.3">
      <c r="A36" s="106">
        <v>27</v>
      </c>
      <c r="B36" s="42" t="s">
        <v>95</v>
      </c>
      <c r="C36" s="102">
        <f t="shared" si="6"/>
        <v>1416627.60503875</v>
      </c>
      <c r="D36" s="103">
        <f t="shared" si="7"/>
        <v>1409627.60503875</v>
      </c>
      <c r="E36" s="104">
        <f t="shared" si="8"/>
        <v>883200</v>
      </c>
      <c r="F36" s="43">
        <v>514330</v>
      </c>
      <c r="G36" s="43">
        <v>1390</v>
      </c>
      <c r="H36" s="43">
        <v>367480</v>
      </c>
      <c r="I36" s="44">
        <v>0</v>
      </c>
      <c r="J36" s="105">
        <v>129320</v>
      </c>
      <c r="K36" s="107">
        <v>33750</v>
      </c>
      <c r="L36" s="108">
        <f t="shared" si="9"/>
        <v>95570</v>
      </c>
      <c r="M36" s="45">
        <v>300</v>
      </c>
      <c r="N36" s="46">
        <v>0</v>
      </c>
      <c r="O36" s="45">
        <v>8200</v>
      </c>
      <c r="P36" s="47">
        <v>307780</v>
      </c>
      <c r="Q36" s="43">
        <v>0</v>
      </c>
      <c r="R36" s="43">
        <v>104600</v>
      </c>
      <c r="S36" s="48">
        <f t="shared" si="10"/>
        <v>203180</v>
      </c>
      <c r="T36" s="49">
        <v>13930</v>
      </c>
      <c r="U36" s="44">
        <v>145.86000000000001</v>
      </c>
      <c r="V36" s="47">
        <v>14512.60503875</v>
      </c>
      <c r="W36" s="43">
        <v>0</v>
      </c>
      <c r="X36" s="43">
        <v>0</v>
      </c>
      <c r="Y36" s="48">
        <f t="shared" si="11"/>
        <v>14512.60503875</v>
      </c>
      <c r="Z36" s="49">
        <v>7000</v>
      </c>
      <c r="AA36" s="43">
        <v>0</v>
      </c>
      <c r="AB36" s="43">
        <v>0</v>
      </c>
      <c r="AC36" s="43">
        <v>0</v>
      </c>
      <c r="AD36" s="43">
        <v>0</v>
      </c>
      <c r="AE36" s="44">
        <v>7000</v>
      </c>
      <c r="AF36" s="47">
        <v>275</v>
      </c>
      <c r="AG36" s="50">
        <v>0</v>
      </c>
      <c r="AH36" s="49">
        <v>52110</v>
      </c>
      <c r="AI36" s="44">
        <v>260</v>
      </c>
      <c r="AJ36" s="51" t="s">
        <v>96</v>
      </c>
    </row>
    <row r="37" spans="1:36" s="51" customFormat="1" ht="29.25" customHeight="1" x14ac:dyDescent="0.3">
      <c r="A37" s="106">
        <v>28</v>
      </c>
      <c r="B37" s="42" t="s">
        <v>97</v>
      </c>
      <c r="C37" s="102">
        <f t="shared" si="6"/>
        <v>1851216.39394406</v>
      </c>
      <c r="D37" s="103">
        <f t="shared" si="7"/>
        <v>506516.39394405996</v>
      </c>
      <c r="E37" s="104">
        <f t="shared" si="8"/>
        <v>317740</v>
      </c>
      <c r="F37" s="43">
        <v>190460</v>
      </c>
      <c r="G37" s="43">
        <v>280</v>
      </c>
      <c r="H37" s="43">
        <v>127000</v>
      </c>
      <c r="I37" s="44">
        <v>0</v>
      </c>
      <c r="J37" s="105">
        <v>58840</v>
      </c>
      <c r="K37" s="107">
        <v>10810</v>
      </c>
      <c r="L37" s="108">
        <f t="shared" si="9"/>
        <v>48030</v>
      </c>
      <c r="M37" s="45">
        <v>0</v>
      </c>
      <c r="N37" s="46">
        <v>0</v>
      </c>
      <c r="O37" s="45">
        <v>3700</v>
      </c>
      <c r="P37" s="47">
        <v>52040</v>
      </c>
      <c r="Q37" s="43">
        <v>0</v>
      </c>
      <c r="R37" s="43">
        <v>11120</v>
      </c>
      <c r="S37" s="48">
        <f t="shared" si="10"/>
        <v>40920</v>
      </c>
      <c r="T37" s="49">
        <v>6030</v>
      </c>
      <c r="U37" s="44">
        <v>46.36</v>
      </c>
      <c r="V37" s="47">
        <v>57714.393944060001</v>
      </c>
      <c r="W37" s="43">
        <v>0</v>
      </c>
      <c r="X37" s="43">
        <v>2050</v>
      </c>
      <c r="Y37" s="48">
        <f t="shared" si="11"/>
        <v>55664.393944060001</v>
      </c>
      <c r="Z37" s="49">
        <v>1344700</v>
      </c>
      <c r="AA37" s="43">
        <v>494200</v>
      </c>
      <c r="AB37" s="43">
        <v>850000</v>
      </c>
      <c r="AC37" s="43">
        <v>0</v>
      </c>
      <c r="AD37" s="43">
        <v>0</v>
      </c>
      <c r="AE37" s="44">
        <v>500</v>
      </c>
      <c r="AF37" s="47">
        <v>192</v>
      </c>
      <c r="AG37" s="50">
        <v>2610</v>
      </c>
      <c r="AH37" s="49">
        <v>7650</v>
      </c>
      <c r="AI37" s="44">
        <v>260</v>
      </c>
      <c r="AJ37" s="51" t="s">
        <v>98</v>
      </c>
    </row>
    <row r="38" spans="1:36" s="51" customFormat="1" ht="29.25" customHeight="1" x14ac:dyDescent="0.3">
      <c r="A38" s="106">
        <v>29</v>
      </c>
      <c r="B38" s="42" t="s">
        <v>99</v>
      </c>
      <c r="C38" s="102">
        <f t="shared" si="6"/>
        <v>1217716.98403064</v>
      </c>
      <c r="D38" s="103">
        <f t="shared" si="7"/>
        <v>633716.98403063999</v>
      </c>
      <c r="E38" s="104">
        <f t="shared" si="8"/>
        <v>385200</v>
      </c>
      <c r="F38" s="43">
        <v>253420</v>
      </c>
      <c r="G38" s="43">
        <v>660</v>
      </c>
      <c r="H38" s="43">
        <v>131120</v>
      </c>
      <c r="I38" s="44">
        <v>0</v>
      </c>
      <c r="J38" s="105">
        <v>91690</v>
      </c>
      <c r="K38" s="107">
        <v>19150</v>
      </c>
      <c r="L38" s="108">
        <f t="shared" si="9"/>
        <v>72540</v>
      </c>
      <c r="M38" s="45">
        <v>140</v>
      </c>
      <c r="N38" s="46">
        <v>0</v>
      </c>
      <c r="O38" s="45">
        <v>4800</v>
      </c>
      <c r="P38" s="47">
        <v>101410</v>
      </c>
      <c r="Q38" s="43">
        <v>0</v>
      </c>
      <c r="R38" s="43">
        <v>5530</v>
      </c>
      <c r="S38" s="48">
        <f t="shared" si="10"/>
        <v>95880</v>
      </c>
      <c r="T38" s="49">
        <v>5000</v>
      </c>
      <c r="U38" s="44">
        <v>175.0325</v>
      </c>
      <c r="V38" s="47">
        <v>30136.98403064</v>
      </c>
      <c r="W38" s="43">
        <v>0</v>
      </c>
      <c r="X38" s="43">
        <v>340</v>
      </c>
      <c r="Y38" s="48">
        <f t="shared" si="11"/>
        <v>29796.98403064</v>
      </c>
      <c r="Z38" s="49">
        <v>584000</v>
      </c>
      <c r="AA38" s="43">
        <v>0</v>
      </c>
      <c r="AB38" s="43">
        <v>0</v>
      </c>
      <c r="AC38" s="43">
        <v>0</v>
      </c>
      <c r="AD38" s="43">
        <v>583000</v>
      </c>
      <c r="AE38" s="44">
        <v>1000</v>
      </c>
      <c r="AF38" s="47">
        <v>0</v>
      </c>
      <c r="AG38" s="50">
        <v>630</v>
      </c>
      <c r="AH38" s="49">
        <v>14710</v>
      </c>
      <c r="AI38" s="44">
        <v>260</v>
      </c>
      <c r="AJ38" s="51" t="s">
        <v>100</v>
      </c>
    </row>
    <row r="39" spans="1:36" s="51" customFormat="1" ht="29.25" customHeight="1" x14ac:dyDescent="0.3">
      <c r="A39" s="106">
        <v>30</v>
      </c>
      <c r="B39" s="42" t="s">
        <v>101</v>
      </c>
      <c r="C39" s="102">
        <f t="shared" si="6"/>
        <v>3011959.4434263702</v>
      </c>
      <c r="D39" s="103">
        <f t="shared" si="7"/>
        <v>2462059.4434263702</v>
      </c>
      <c r="E39" s="104">
        <f t="shared" si="8"/>
        <v>1171670</v>
      </c>
      <c r="F39" s="43">
        <v>668560</v>
      </c>
      <c r="G39" s="43">
        <v>74640</v>
      </c>
      <c r="H39" s="43">
        <v>428460</v>
      </c>
      <c r="I39" s="44">
        <v>10</v>
      </c>
      <c r="J39" s="105">
        <v>193630</v>
      </c>
      <c r="K39" s="107">
        <v>53760</v>
      </c>
      <c r="L39" s="108">
        <f t="shared" si="9"/>
        <v>139870</v>
      </c>
      <c r="M39" s="45">
        <v>0</v>
      </c>
      <c r="N39" s="46">
        <v>0</v>
      </c>
      <c r="O39" s="45">
        <v>16200</v>
      </c>
      <c r="P39" s="47">
        <v>267320</v>
      </c>
      <c r="Q39" s="43">
        <v>0</v>
      </c>
      <c r="R39" s="43">
        <v>25920</v>
      </c>
      <c r="S39" s="48">
        <f t="shared" si="10"/>
        <v>241400</v>
      </c>
      <c r="T39" s="49">
        <v>8850</v>
      </c>
      <c r="U39" s="44">
        <v>270.69200749999999</v>
      </c>
      <c r="V39" s="47">
        <v>743479.44342637004</v>
      </c>
      <c r="W39" s="43">
        <v>710000</v>
      </c>
      <c r="X39" s="43">
        <v>6740</v>
      </c>
      <c r="Y39" s="48">
        <f t="shared" si="11"/>
        <v>26739.443426370039</v>
      </c>
      <c r="Z39" s="49">
        <v>549900</v>
      </c>
      <c r="AA39" s="43">
        <v>72900</v>
      </c>
      <c r="AB39" s="43">
        <v>0</v>
      </c>
      <c r="AC39" s="43">
        <v>0</v>
      </c>
      <c r="AD39" s="43">
        <v>452000</v>
      </c>
      <c r="AE39" s="44">
        <v>25000</v>
      </c>
      <c r="AF39" s="47">
        <v>0</v>
      </c>
      <c r="AG39" s="50">
        <v>22500</v>
      </c>
      <c r="AH39" s="49">
        <v>38410</v>
      </c>
      <c r="AI39" s="44">
        <v>520</v>
      </c>
      <c r="AJ39" s="51" t="s">
        <v>102</v>
      </c>
    </row>
    <row r="40" spans="1:36" s="51" customFormat="1" ht="29.25" customHeight="1" x14ac:dyDescent="0.3">
      <c r="A40" s="106">
        <v>31</v>
      </c>
      <c r="B40" s="42" t="s">
        <v>103</v>
      </c>
      <c r="C40" s="102">
        <f t="shared" si="6"/>
        <v>3413696.1832246501</v>
      </c>
      <c r="D40" s="103">
        <f t="shared" si="7"/>
        <v>2336396.1832246501</v>
      </c>
      <c r="E40" s="104">
        <f t="shared" si="8"/>
        <v>1259700</v>
      </c>
      <c r="F40" s="43">
        <v>894270</v>
      </c>
      <c r="G40" s="43">
        <v>970</v>
      </c>
      <c r="H40" s="43">
        <v>364460</v>
      </c>
      <c r="I40" s="44">
        <v>0</v>
      </c>
      <c r="J40" s="105">
        <v>191620</v>
      </c>
      <c r="K40" s="107">
        <v>47840</v>
      </c>
      <c r="L40" s="108">
        <f t="shared" si="9"/>
        <v>143780</v>
      </c>
      <c r="M40" s="45">
        <v>0</v>
      </c>
      <c r="N40" s="46">
        <v>0</v>
      </c>
      <c r="O40" s="45">
        <v>14900</v>
      </c>
      <c r="P40" s="47">
        <v>630820</v>
      </c>
      <c r="Q40" s="43">
        <v>175550</v>
      </c>
      <c r="R40" s="43">
        <v>164630</v>
      </c>
      <c r="S40" s="48">
        <f t="shared" si="10"/>
        <v>290640</v>
      </c>
      <c r="T40" s="49">
        <v>6200</v>
      </c>
      <c r="U40" s="44">
        <v>329.49250000000001</v>
      </c>
      <c r="V40" s="47">
        <v>185736.18322464998</v>
      </c>
      <c r="W40" s="43">
        <v>0</v>
      </c>
      <c r="X40" s="43">
        <v>0</v>
      </c>
      <c r="Y40" s="48">
        <f t="shared" si="11"/>
        <v>185736.18322464998</v>
      </c>
      <c r="Z40" s="49">
        <v>1077300</v>
      </c>
      <c r="AA40" s="43">
        <v>116700</v>
      </c>
      <c r="AB40" s="43">
        <v>955600</v>
      </c>
      <c r="AC40" s="43">
        <v>0</v>
      </c>
      <c r="AD40" s="43">
        <v>0</v>
      </c>
      <c r="AE40" s="44">
        <v>5000</v>
      </c>
      <c r="AF40" s="47">
        <v>0</v>
      </c>
      <c r="AG40" s="50">
        <v>9000</v>
      </c>
      <c r="AH40" s="49">
        <v>38420</v>
      </c>
      <c r="AI40" s="44">
        <v>390</v>
      </c>
      <c r="AJ40" s="51" t="s">
        <v>104</v>
      </c>
    </row>
    <row r="41" spans="1:36" s="51" customFormat="1" ht="29.25" customHeight="1" x14ac:dyDescent="0.3">
      <c r="A41" s="106">
        <v>32</v>
      </c>
      <c r="B41" s="42" t="s">
        <v>105</v>
      </c>
      <c r="C41" s="102">
        <f t="shared" si="6"/>
        <v>4976059.8259442095</v>
      </c>
      <c r="D41" s="103">
        <f t="shared" si="7"/>
        <v>2820559.8259442095</v>
      </c>
      <c r="E41" s="104">
        <f t="shared" si="8"/>
        <v>1906070</v>
      </c>
      <c r="F41" s="43">
        <v>1158650</v>
      </c>
      <c r="G41" s="43">
        <v>1460</v>
      </c>
      <c r="H41" s="43">
        <v>745480</v>
      </c>
      <c r="I41" s="44">
        <v>480</v>
      </c>
      <c r="J41" s="105">
        <v>224070</v>
      </c>
      <c r="K41" s="107">
        <v>62940</v>
      </c>
      <c r="L41" s="108">
        <f t="shared" si="9"/>
        <v>161130</v>
      </c>
      <c r="M41" s="45">
        <v>300</v>
      </c>
      <c r="N41" s="46">
        <v>0</v>
      </c>
      <c r="O41" s="45">
        <v>15700</v>
      </c>
      <c r="P41" s="47">
        <v>412000</v>
      </c>
      <c r="Q41" s="43">
        <v>0</v>
      </c>
      <c r="R41" s="43">
        <v>126120</v>
      </c>
      <c r="S41" s="48">
        <f t="shared" si="10"/>
        <v>285880</v>
      </c>
      <c r="T41" s="49">
        <v>1590</v>
      </c>
      <c r="U41" s="44">
        <v>194.53</v>
      </c>
      <c r="V41" s="47">
        <v>214589.82594421</v>
      </c>
      <c r="W41" s="43">
        <v>0</v>
      </c>
      <c r="X41" s="43">
        <v>2070</v>
      </c>
      <c r="Y41" s="48">
        <f t="shared" si="11"/>
        <v>212519.82594421</v>
      </c>
      <c r="Z41" s="49">
        <v>2155500</v>
      </c>
      <c r="AA41" s="43">
        <v>171200</v>
      </c>
      <c r="AB41" s="43">
        <v>1964300</v>
      </c>
      <c r="AC41" s="43">
        <v>0</v>
      </c>
      <c r="AD41" s="43">
        <v>0</v>
      </c>
      <c r="AE41" s="44">
        <v>20000</v>
      </c>
      <c r="AF41" s="47">
        <v>0</v>
      </c>
      <c r="AG41" s="50">
        <v>6300</v>
      </c>
      <c r="AH41" s="49">
        <v>39940</v>
      </c>
      <c r="AI41" s="44">
        <v>390</v>
      </c>
      <c r="AJ41" s="51" t="s">
        <v>106</v>
      </c>
    </row>
    <row r="42" spans="1:36" s="51" customFormat="1" ht="29.25" customHeight="1" x14ac:dyDescent="0.3">
      <c r="A42" s="106">
        <v>33</v>
      </c>
      <c r="B42" s="42" t="s">
        <v>107</v>
      </c>
      <c r="C42" s="102">
        <f t="shared" si="6"/>
        <v>14879873.40855444</v>
      </c>
      <c r="D42" s="103">
        <f t="shared" si="7"/>
        <v>13886473.40855444</v>
      </c>
      <c r="E42" s="104">
        <f t="shared" ref="E42:E60" si="12">SUM(F42:I42)</f>
        <v>11389790</v>
      </c>
      <c r="F42" s="43">
        <v>5321980</v>
      </c>
      <c r="G42" s="43">
        <v>3300</v>
      </c>
      <c r="H42" s="43">
        <v>6064280</v>
      </c>
      <c r="I42" s="44">
        <v>230</v>
      </c>
      <c r="J42" s="105">
        <v>199260</v>
      </c>
      <c r="K42" s="107">
        <v>95400</v>
      </c>
      <c r="L42" s="108">
        <f t="shared" si="9"/>
        <v>103860</v>
      </c>
      <c r="M42" s="45">
        <v>0</v>
      </c>
      <c r="N42" s="46">
        <v>0</v>
      </c>
      <c r="O42" s="45">
        <v>14500</v>
      </c>
      <c r="P42" s="47">
        <v>1706960</v>
      </c>
      <c r="Q42" s="43">
        <v>660180</v>
      </c>
      <c r="R42" s="43">
        <v>836240</v>
      </c>
      <c r="S42" s="48">
        <f t="shared" si="10"/>
        <v>210540</v>
      </c>
      <c r="T42" s="49">
        <v>1510</v>
      </c>
      <c r="U42" s="44">
        <v>0</v>
      </c>
      <c r="V42" s="47">
        <v>108433.40855444</v>
      </c>
      <c r="W42" s="43">
        <v>0</v>
      </c>
      <c r="X42" s="43">
        <v>1260</v>
      </c>
      <c r="Y42" s="48">
        <f t="shared" si="11"/>
        <v>107173.40855444</v>
      </c>
      <c r="Z42" s="49">
        <v>993400</v>
      </c>
      <c r="AA42" s="43">
        <v>0</v>
      </c>
      <c r="AB42" s="43">
        <v>988400</v>
      </c>
      <c r="AC42" s="43">
        <v>0</v>
      </c>
      <c r="AD42" s="43">
        <v>0</v>
      </c>
      <c r="AE42" s="44">
        <v>5000</v>
      </c>
      <c r="AF42" s="47">
        <v>0</v>
      </c>
      <c r="AG42" s="50">
        <v>9000</v>
      </c>
      <c r="AH42" s="49">
        <v>457020</v>
      </c>
      <c r="AI42" s="44">
        <v>650</v>
      </c>
      <c r="AJ42" s="51" t="s">
        <v>108</v>
      </c>
    </row>
    <row r="43" spans="1:36" s="51" customFormat="1" ht="29.25" customHeight="1" x14ac:dyDescent="0.3">
      <c r="A43" s="106">
        <v>34</v>
      </c>
      <c r="B43" s="42" t="s">
        <v>109</v>
      </c>
      <c r="C43" s="102">
        <f t="shared" si="6"/>
        <v>4463520.3741610497</v>
      </c>
      <c r="D43" s="103">
        <f t="shared" si="7"/>
        <v>4321820.3741610497</v>
      </c>
      <c r="E43" s="104">
        <f t="shared" si="12"/>
        <v>3017870</v>
      </c>
      <c r="F43" s="43">
        <v>1869500</v>
      </c>
      <c r="G43" s="43">
        <v>3760</v>
      </c>
      <c r="H43" s="43">
        <v>1137700</v>
      </c>
      <c r="I43" s="44">
        <v>6910</v>
      </c>
      <c r="J43" s="105">
        <v>303420</v>
      </c>
      <c r="K43" s="107">
        <v>56310</v>
      </c>
      <c r="L43" s="108">
        <f t="shared" si="9"/>
        <v>247110</v>
      </c>
      <c r="M43" s="45">
        <v>0</v>
      </c>
      <c r="N43" s="46">
        <v>0</v>
      </c>
      <c r="O43" s="45">
        <v>14700</v>
      </c>
      <c r="P43" s="47">
        <v>721450</v>
      </c>
      <c r="Q43" s="43">
        <v>0</v>
      </c>
      <c r="R43" s="43">
        <v>232090</v>
      </c>
      <c r="S43" s="48">
        <f t="shared" si="10"/>
        <v>489360</v>
      </c>
      <c r="T43" s="49">
        <v>83610</v>
      </c>
      <c r="U43" s="44">
        <v>486.79500000000002</v>
      </c>
      <c r="V43" s="47">
        <v>74460.37416105</v>
      </c>
      <c r="W43" s="43">
        <v>0</v>
      </c>
      <c r="X43" s="43">
        <v>9060</v>
      </c>
      <c r="Y43" s="48">
        <f t="shared" si="11"/>
        <v>65400.37416105</v>
      </c>
      <c r="Z43" s="49">
        <v>141700</v>
      </c>
      <c r="AA43" s="43">
        <v>56700</v>
      </c>
      <c r="AB43" s="43">
        <v>0</v>
      </c>
      <c r="AC43" s="43">
        <v>0</v>
      </c>
      <c r="AD43" s="43">
        <v>75000</v>
      </c>
      <c r="AE43" s="44">
        <v>10000</v>
      </c>
      <c r="AF43" s="47">
        <v>0</v>
      </c>
      <c r="AG43" s="50">
        <v>0</v>
      </c>
      <c r="AH43" s="49">
        <v>106310</v>
      </c>
      <c r="AI43" s="44">
        <v>1600</v>
      </c>
      <c r="AJ43" s="51" t="s">
        <v>110</v>
      </c>
    </row>
    <row r="44" spans="1:36" s="51" customFormat="1" ht="29.25" customHeight="1" x14ac:dyDescent="0.3">
      <c r="A44" s="106">
        <v>35</v>
      </c>
      <c r="B44" s="42" t="s">
        <v>111</v>
      </c>
      <c r="C44" s="102">
        <f t="shared" si="6"/>
        <v>2512531.4141970398</v>
      </c>
      <c r="D44" s="103">
        <f t="shared" si="7"/>
        <v>2423431.4141970398</v>
      </c>
      <c r="E44" s="104">
        <f t="shared" si="12"/>
        <v>1869840</v>
      </c>
      <c r="F44" s="43">
        <v>1048720</v>
      </c>
      <c r="G44" s="43">
        <v>2810</v>
      </c>
      <c r="H44" s="43">
        <v>815240</v>
      </c>
      <c r="I44" s="44">
        <v>3070</v>
      </c>
      <c r="J44" s="105">
        <v>198660</v>
      </c>
      <c r="K44" s="107">
        <v>122840</v>
      </c>
      <c r="L44" s="108">
        <f t="shared" si="9"/>
        <v>75820</v>
      </c>
      <c r="M44" s="45">
        <v>0</v>
      </c>
      <c r="N44" s="46">
        <v>0</v>
      </c>
      <c r="O44" s="45">
        <v>10000</v>
      </c>
      <c r="P44" s="47">
        <v>304270</v>
      </c>
      <c r="Q44" s="43">
        <v>0</v>
      </c>
      <c r="R44" s="43">
        <v>42790</v>
      </c>
      <c r="S44" s="48">
        <f t="shared" si="10"/>
        <v>261480</v>
      </c>
      <c r="T44" s="49">
        <v>6550</v>
      </c>
      <c r="U44" s="44">
        <v>34.92</v>
      </c>
      <c r="V44" s="47">
        <v>18051.414197040001</v>
      </c>
      <c r="W44" s="43">
        <v>0</v>
      </c>
      <c r="X44" s="43">
        <v>0</v>
      </c>
      <c r="Y44" s="48">
        <f t="shared" si="11"/>
        <v>18051.414197040001</v>
      </c>
      <c r="Z44" s="49">
        <v>89100</v>
      </c>
      <c r="AA44" s="43">
        <v>46100</v>
      </c>
      <c r="AB44" s="43">
        <v>0</v>
      </c>
      <c r="AC44" s="43">
        <v>0</v>
      </c>
      <c r="AD44" s="43">
        <v>38000</v>
      </c>
      <c r="AE44" s="44">
        <v>5000</v>
      </c>
      <c r="AF44" s="47">
        <v>0</v>
      </c>
      <c r="AG44" s="50">
        <v>0</v>
      </c>
      <c r="AH44" s="49">
        <v>16060</v>
      </c>
      <c r="AI44" s="44">
        <v>260</v>
      </c>
      <c r="AJ44" s="51" t="s">
        <v>112</v>
      </c>
    </row>
    <row r="45" spans="1:36" s="51" customFormat="1" ht="29.25" customHeight="1" x14ac:dyDescent="0.3">
      <c r="A45" s="106">
        <v>36</v>
      </c>
      <c r="B45" s="42" t="s">
        <v>113</v>
      </c>
      <c r="C45" s="102">
        <f t="shared" si="6"/>
        <v>499543.19426906999</v>
      </c>
      <c r="D45" s="103">
        <f t="shared" si="7"/>
        <v>467843.19426906999</v>
      </c>
      <c r="E45" s="104">
        <f t="shared" si="12"/>
        <v>266990</v>
      </c>
      <c r="F45" s="43">
        <v>217610</v>
      </c>
      <c r="G45" s="43">
        <v>0</v>
      </c>
      <c r="H45" s="43">
        <v>49380</v>
      </c>
      <c r="I45" s="44">
        <v>0</v>
      </c>
      <c r="J45" s="105">
        <v>65590</v>
      </c>
      <c r="K45" s="107">
        <v>17440</v>
      </c>
      <c r="L45" s="108">
        <f t="shared" si="9"/>
        <v>48150</v>
      </c>
      <c r="M45" s="45">
        <v>0</v>
      </c>
      <c r="N45" s="46">
        <v>0</v>
      </c>
      <c r="O45" s="45">
        <v>5500</v>
      </c>
      <c r="P45" s="47">
        <v>86510</v>
      </c>
      <c r="Q45" s="43">
        <v>0</v>
      </c>
      <c r="R45" s="43">
        <v>30</v>
      </c>
      <c r="S45" s="48">
        <f t="shared" si="10"/>
        <v>86480</v>
      </c>
      <c r="T45" s="49">
        <v>5940</v>
      </c>
      <c r="U45" s="44">
        <v>110.1275</v>
      </c>
      <c r="V45" s="47">
        <v>26060.194269069998</v>
      </c>
      <c r="W45" s="43">
        <v>0</v>
      </c>
      <c r="X45" s="43">
        <v>1430</v>
      </c>
      <c r="Y45" s="48">
        <f t="shared" si="11"/>
        <v>24630.194269069998</v>
      </c>
      <c r="Z45" s="49">
        <v>31700</v>
      </c>
      <c r="AA45" s="43">
        <v>25700</v>
      </c>
      <c r="AB45" s="43">
        <v>0</v>
      </c>
      <c r="AC45" s="43">
        <v>0</v>
      </c>
      <c r="AD45" s="43">
        <v>0</v>
      </c>
      <c r="AE45" s="44">
        <v>6000</v>
      </c>
      <c r="AF45" s="47">
        <v>0</v>
      </c>
      <c r="AG45" s="50">
        <v>2313</v>
      </c>
      <c r="AH45" s="49">
        <v>8940</v>
      </c>
      <c r="AI45" s="44">
        <v>390</v>
      </c>
      <c r="AJ45" s="51" t="s">
        <v>114</v>
      </c>
    </row>
    <row r="46" spans="1:36" s="51" customFormat="1" ht="29.25" customHeight="1" x14ac:dyDescent="0.3">
      <c r="A46" s="106">
        <v>37</v>
      </c>
      <c r="B46" s="42" t="s">
        <v>115</v>
      </c>
      <c r="C46" s="102">
        <f t="shared" si="6"/>
        <v>524570.22649263998</v>
      </c>
      <c r="D46" s="103">
        <f t="shared" si="7"/>
        <v>453670.22649263998</v>
      </c>
      <c r="E46" s="104">
        <f t="shared" si="12"/>
        <v>288170</v>
      </c>
      <c r="F46" s="43">
        <v>221680</v>
      </c>
      <c r="G46" s="43">
        <v>0</v>
      </c>
      <c r="H46" s="43">
        <v>66460</v>
      </c>
      <c r="I46" s="44">
        <v>30</v>
      </c>
      <c r="J46" s="105">
        <v>41330</v>
      </c>
      <c r="K46" s="107">
        <v>6510</v>
      </c>
      <c r="L46" s="108">
        <f t="shared" si="9"/>
        <v>34820</v>
      </c>
      <c r="M46" s="45">
        <v>0</v>
      </c>
      <c r="N46" s="46">
        <v>0</v>
      </c>
      <c r="O46" s="45">
        <v>5900</v>
      </c>
      <c r="P46" s="47">
        <v>94700</v>
      </c>
      <c r="Q46" s="43">
        <v>0</v>
      </c>
      <c r="R46" s="43">
        <v>20650</v>
      </c>
      <c r="S46" s="48">
        <f t="shared" si="10"/>
        <v>74050</v>
      </c>
      <c r="T46" s="49">
        <v>2880</v>
      </c>
      <c r="U46" s="44">
        <v>187.64250000000001</v>
      </c>
      <c r="V46" s="47">
        <v>6970.2264926399994</v>
      </c>
      <c r="W46" s="43">
        <v>0</v>
      </c>
      <c r="X46" s="43">
        <v>260</v>
      </c>
      <c r="Y46" s="48">
        <f t="shared" si="11"/>
        <v>6710.2264926399994</v>
      </c>
      <c r="Z46" s="49">
        <v>70900</v>
      </c>
      <c r="AA46" s="43">
        <v>65900</v>
      </c>
      <c r="AB46" s="43">
        <v>0</v>
      </c>
      <c r="AC46" s="43">
        <v>0</v>
      </c>
      <c r="AD46" s="43">
        <v>0</v>
      </c>
      <c r="AE46" s="44">
        <v>5000</v>
      </c>
      <c r="AF46" s="47">
        <v>0</v>
      </c>
      <c r="AG46" s="50">
        <v>0</v>
      </c>
      <c r="AH46" s="49">
        <v>13720</v>
      </c>
      <c r="AI46" s="44">
        <v>1500</v>
      </c>
      <c r="AJ46" s="51" t="s">
        <v>116</v>
      </c>
    </row>
    <row r="47" spans="1:36" s="51" customFormat="1" ht="29.25" customHeight="1" x14ac:dyDescent="0.3">
      <c r="A47" s="106">
        <v>38</v>
      </c>
      <c r="B47" s="42" t="s">
        <v>117</v>
      </c>
      <c r="C47" s="102">
        <f t="shared" si="6"/>
        <v>846189.35069121001</v>
      </c>
      <c r="D47" s="103">
        <f t="shared" si="7"/>
        <v>836189.35069121001</v>
      </c>
      <c r="E47" s="104">
        <f t="shared" si="12"/>
        <v>551570</v>
      </c>
      <c r="F47" s="43">
        <v>388870</v>
      </c>
      <c r="G47" s="43">
        <v>200</v>
      </c>
      <c r="H47" s="43">
        <v>162500</v>
      </c>
      <c r="I47" s="44">
        <v>0</v>
      </c>
      <c r="J47" s="105">
        <v>108570</v>
      </c>
      <c r="K47" s="107">
        <v>23930</v>
      </c>
      <c r="L47" s="108">
        <f t="shared" si="9"/>
        <v>84640</v>
      </c>
      <c r="M47" s="45">
        <v>0</v>
      </c>
      <c r="N47" s="46">
        <v>0</v>
      </c>
      <c r="O47" s="45">
        <v>5400</v>
      </c>
      <c r="P47" s="47">
        <v>134170</v>
      </c>
      <c r="Q47" s="43">
        <v>0</v>
      </c>
      <c r="R47" s="43">
        <v>910</v>
      </c>
      <c r="S47" s="48">
        <f t="shared" si="10"/>
        <v>133260</v>
      </c>
      <c r="T47" s="49">
        <v>5770</v>
      </c>
      <c r="U47" s="44">
        <v>263.6925</v>
      </c>
      <c r="V47" s="47">
        <v>11029.350691209998</v>
      </c>
      <c r="W47" s="43">
        <v>0</v>
      </c>
      <c r="X47" s="43">
        <v>0</v>
      </c>
      <c r="Y47" s="48">
        <f t="shared" si="11"/>
        <v>11029.350691209998</v>
      </c>
      <c r="Z47" s="49">
        <v>10000</v>
      </c>
      <c r="AA47" s="43">
        <v>0</v>
      </c>
      <c r="AB47" s="43">
        <v>0</v>
      </c>
      <c r="AC47" s="43">
        <v>0</v>
      </c>
      <c r="AD47" s="43">
        <v>0</v>
      </c>
      <c r="AE47" s="44">
        <v>10000</v>
      </c>
      <c r="AF47" s="47">
        <v>0</v>
      </c>
      <c r="AG47" s="50">
        <v>0</v>
      </c>
      <c r="AH47" s="49">
        <v>19680</v>
      </c>
      <c r="AI47" s="44">
        <v>390</v>
      </c>
      <c r="AJ47" s="51" t="s">
        <v>118</v>
      </c>
    </row>
    <row r="48" spans="1:36" s="51" customFormat="1" ht="29.25" customHeight="1" x14ac:dyDescent="0.3">
      <c r="A48" s="106">
        <v>39</v>
      </c>
      <c r="B48" s="42" t="s">
        <v>119</v>
      </c>
      <c r="C48" s="102">
        <f t="shared" si="6"/>
        <v>9923471.2590897102</v>
      </c>
      <c r="D48" s="103">
        <f t="shared" si="7"/>
        <v>7082471.2590897102</v>
      </c>
      <c r="E48" s="104">
        <f t="shared" si="12"/>
        <v>5153280</v>
      </c>
      <c r="F48" s="43">
        <v>2692540</v>
      </c>
      <c r="G48" s="43">
        <v>104170</v>
      </c>
      <c r="H48" s="43">
        <v>2356570</v>
      </c>
      <c r="I48" s="44">
        <v>0</v>
      </c>
      <c r="J48" s="105">
        <v>422280</v>
      </c>
      <c r="K48" s="107">
        <v>114180</v>
      </c>
      <c r="L48" s="108">
        <f t="shared" si="9"/>
        <v>308100</v>
      </c>
      <c r="M48" s="45">
        <v>0</v>
      </c>
      <c r="N48" s="46">
        <v>0</v>
      </c>
      <c r="O48" s="45">
        <v>16100</v>
      </c>
      <c r="P48" s="47">
        <v>1165040</v>
      </c>
      <c r="Q48" s="43">
        <v>0</v>
      </c>
      <c r="R48" s="43">
        <v>499240</v>
      </c>
      <c r="S48" s="48">
        <f t="shared" si="10"/>
        <v>665800</v>
      </c>
      <c r="T48" s="49">
        <v>21180</v>
      </c>
      <c r="U48" s="44">
        <v>319.19040000000001</v>
      </c>
      <c r="V48" s="47">
        <v>206701.25908970999</v>
      </c>
      <c r="W48" s="43">
        <v>50000</v>
      </c>
      <c r="X48" s="43">
        <v>630</v>
      </c>
      <c r="Y48" s="48">
        <f t="shared" si="11"/>
        <v>156071.25908970999</v>
      </c>
      <c r="Z48" s="49">
        <v>2841000</v>
      </c>
      <c r="AA48" s="43">
        <v>0</v>
      </c>
      <c r="AB48" s="43">
        <v>0</v>
      </c>
      <c r="AC48" s="43">
        <v>0</v>
      </c>
      <c r="AD48" s="43">
        <v>2821000</v>
      </c>
      <c r="AE48" s="44">
        <v>20000</v>
      </c>
      <c r="AF48" s="47">
        <v>0</v>
      </c>
      <c r="AG48" s="50">
        <v>0</v>
      </c>
      <c r="AH48" s="49">
        <v>97890</v>
      </c>
      <c r="AI48" s="44">
        <v>7000</v>
      </c>
      <c r="AJ48" s="51" t="s">
        <v>120</v>
      </c>
    </row>
    <row r="49" spans="1:36" s="51" customFormat="1" ht="29.25" customHeight="1" x14ac:dyDescent="0.3">
      <c r="A49" s="106">
        <v>40</v>
      </c>
      <c r="B49" s="42" t="s">
        <v>121</v>
      </c>
      <c r="C49" s="102">
        <f t="shared" si="6"/>
        <v>3962417.9493724401</v>
      </c>
      <c r="D49" s="103">
        <f t="shared" si="7"/>
        <v>2862417.9493724401</v>
      </c>
      <c r="E49" s="104">
        <f t="shared" si="12"/>
        <v>2532680</v>
      </c>
      <c r="F49" s="43">
        <v>1161780</v>
      </c>
      <c r="G49" s="43">
        <v>741360</v>
      </c>
      <c r="H49" s="43">
        <v>629540</v>
      </c>
      <c r="I49" s="44">
        <v>0</v>
      </c>
      <c r="J49" s="105">
        <v>94250</v>
      </c>
      <c r="K49" s="107">
        <v>19080</v>
      </c>
      <c r="L49" s="108">
        <f t="shared" si="9"/>
        <v>75170</v>
      </c>
      <c r="M49" s="45">
        <v>0</v>
      </c>
      <c r="N49" s="46">
        <v>0</v>
      </c>
      <c r="O49" s="45">
        <v>9300</v>
      </c>
      <c r="P49" s="47">
        <v>163850</v>
      </c>
      <c r="Q49" s="43">
        <v>0</v>
      </c>
      <c r="R49" s="43">
        <v>51550</v>
      </c>
      <c r="S49" s="48">
        <f t="shared" si="10"/>
        <v>112300</v>
      </c>
      <c r="T49" s="49">
        <v>3090</v>
      </c>
      <c r="U49" s="44">
        <v>283.41000000000003</v>
      </c>
      <c r="V49" s="47">
        <v>49407.949372440002</v>
      </c>
      <c r="W49" s="43">
        <v>0</v>
      </c>
      <c r="X49" s="43">
        <v>0</v>
      </c>
      <c r="Y49" s="48">
        <f t="shared" si="11"/>
        <v>49407.949372440002</v>
      </c>
      <c r="Z49" s="49">
        <v>1100000</v>
      </c>
      <c r="AA49" s="43">
        <v>0</v>
      </c>
      <c r="AB49" s="43">
        <v>0</v>
      </c>
      <c r="AC49" s="43">
        <v>0</v>
      </c>
      <c r="AD49" s="43">
        <v>1080000</v>
      </c>
      <c r="AE49" s="44">
        <v>20000</v>
      </c>
      <c r="AF49" s="47">
        <v>0</v>
      </c>
      <c r="AG49" s="50">
        <v>0</v>
      </c>
      <c r="AH49" s="49">
        <v>9840</v>
      </c>
      <c r="AI49" s="44">
        <v>1600</v>
      </c>
      <c r="AJ49" s="51" t="s">
        <v>122</v>
      </c>
    </row>
    <row r="50" spans="1:36" s="51" customFormat="1" ht="29.25" customHeight="1" x14ac:dyDescent="0.3">
      <c r="A50" s="106">
        <v>41</v>
      </c>
      <c r="B50" s="42" t="s">
        <v>123</v>
      </c>
      <c r="C50" s="102">
        <f t="shared" si="6"/>
        <v>2619757.3166946303</v>
      </c>
      <c r="D50" s="103">
        <f t="shared" si="7"/>
        <v>1773757.3166946303</v>
      </c>
      <c r="E50" s="104">
        <f t="shared" si="12"/>
        <v>1188980</v>
      </c>
      <c r="F50" s="43">
        <v>930200</v>
      </c>
      <c r="G50" s="43">
        <v>50</v>
      </c>
      <c r="H50" s="43">
        <v>258730</v>
      </c>
      <c r="I50" s="44">
        <v>0</v>
      </c>
      <c r="J50" s="105">
        <v>220310</v>
      </c>
      <c r="K50" s="107">
        <v>121380</v>
      </c>
      <c r="L50" s="108">
        <f t="shared" si="9"/>
        <v>98930</v>
      </c>
      <c r="M50" s="45">
        <v>0</v>
      </c>
      <c r="N50" s="46">
        <v>0</v>
      </c>
      <c r="O50" s="45">
        <v>7500</v>
      </c>
      <c r="P50" s="47">
        <v>262730</v>
      </c>
      <c r="Q50" s="43">
        <v>0</v>
      </c>
      <c r="R50" s="43">
        <v>3130</v>
      </c>
      <c r="S50" s="48">
        <f t="shared" si="10"/>
        <v>259600</v>
      </c>
      <c r="T50" s="49">
        <v>1540</v>
      </c>
      <c r="U50" s="44">
        <v>130.55000000000001</v>
      </c>
      <c r="V50" s="47">
        <v>81157.316694630004</v>
      </c>
      <c r="W50" s="43">
        <v>0</v>
      </c>
      <c r="X50" s="43">
        <v>0</v>
      </c>
      <c r="Y50" s="48">
        <f t="shared" si="11"/>
        <v>81157.316694630004</v>
      </c>
      <c r="Z50" s="49">
        <v>846000</v>
      </c>
      <c r="AA50" s="43">
        <v>0</v>
      </c>
      <c r="AB50" s="43">
        <v>0</v>
      </c>
      <c r="AC50" s="43">
        <v>0</v>
      </c>
      <c r="AD50" s="43">
        <v>826000</v>
      </c>
      <c r="AE50" s="44">
        <v>20000</v>
      </c>
      <c r="AF50" s="47">
        <v>0</v>
      </c>
      <c r="AG50" s="50">
        <v>0</v>
      </c>
      <c r="AH50" s="49">
        <v>11540</v>
      </c>
      <c r="AI50" s="44">
        <v>260</v>
      </c>
      <c r="AJ50" s="51" t="s">
        <v>124</v>
      </c>
    </row>
    <row r="51" spans="1:36" s="51" customFormat="1" ht="29.25" customHeight="1" x14ac:dyDescent="0.3">
      <c r="A51" s="106">
        <v>42</v>
      </c>
      <c r="B51" s="42" t="s">
        <v>125</v>
      </c>
      <c r="C51" s="102">
        <f t="shared" si="6"/>
        <v>5854348.9730659276</v>
      </c>
      <c r="D51" s="103">
        <f t="shared" si="7"/>
        <v>1349348.9730659276</v>
      </c>
      <c r="E51" s="104">
        <f t="shared" si="12"/>
        <v>876800</v>
      </c>
      <c r="F51" s="43">
        <v>530680</v>
      </c>
      <c r="G51" s="43">
        <v>130</v>
      </c>
      <c r="H51" s="43">
        <v>345990</v>
      </c>
      <c r="I51" s="44">
        <v>0</v>
      </c>
      <c r="J51" s="105">
        <v>124800</v>
      </c>
      <c r="K51" s="107">
        <v>38160</v>
      </c>
      <c r="L51" s="108">
        <f t="shared" si="9"/>
        <v>86640</v>
      </c>
      <c r="M51" s="45">
        <v>130</v>
      </c>
      <c r="N51" s="46">
        <v>0</v>
      </c>
      <c r="O51" s="45">
        <v>6000</v>
      </c>
      <c r="P51" s="47">
        <v>238070</v>
      </c>
      <c r="Q51" s="43">
        <v>0</v>
      </c>
      <c r="R51" s="43">
        <v>54170</v>
      </c>
      <c r="S51" s="48">
        <f t="shared" si="10"/>
        <v>183900</v>
      </c>
      <c r="T51" s="49">
        <v>21410</v>
      </c>
      <c r="U51" s="44">
        <v>154.495</v>
      </c>
      <c r="V51" s="47">
        <v>61068.973065927137</v>
      </c>
      <c r="W51" s="43">
        <v>0</v>
      </c>
      <c r="X51" s="43">
        <v>0</v>
      </c>
      <c r="Y51" s="48">
        <f t="shared" si="11"/>
        <v>61068.973065927137</v>
      </c>
      <c r="Z51" s="49">
        <v>4505000</v>
      </c>
      <c r="AA51" s="43">
        <v>0</v>
      </c>
      <c r="AB51" s="43">
        <v>0</v>
      </c>
      <c r="AC51" s="43">
        <v>0</v>
      </c>
      <c r="AD51" s="43">
        <v>4500000</v>
      </c>
      <c r="AE51" s="44">
        <v>5000</v>
      </c>
      <c r="AF51" s="47">
        <v>0</v>
      </c>
      <c r="AG51" s="50">
        <v>0</v>
      </c>
      <c r="AH51" s="49">
        <v>21070</v>
      </c>
      <c r="AI51" s="44">
        <v>1950</v>
      </c>
      <c r="AJ51" s="51" t="s">
        <v>126</v>
      </c>
    </row>
    <row r="52" spans="1:36" s="51" customFormat="1" ht="29.25" customHeight="1" x14ac:dyDescent="0.3">
      <c r="A52" s="106">
        <v>43</v>
      </c>
      <c r="B52" s="42" t="s">
        <v>127</v>
      </c>
      <c r="C52" s="102">
        <f t="shared" si="6"/>
        <v>266957.17382467003</v>
      </c>
      <c r="D52" s="103">
        <f t="shared" si="7"/>
        <v>246957.17382467003</v>
      </c>
      <c r="E52" s="104">
        <f t="shared" si="12"/>
        <v>115200</v>
      </c>
      <c r="F52" s="43">
        <v>92400</v>
      </c>
      <c r="G52" s="43">
        <v>450</v>
      </c>
      <c r="H52" s="43">
        <v>21330</v>
      </c>
      <c r="I52" s="44">
        <v>1020</v>
      </c>
      <c r="J52" s="105">
        <v>34810</v>
      </c>
      <c r="K52" s="107">
        <v>9370</v>
      </c>
      <c r="L52" s="108">
        <f t="shared" si="9"/>
        <v>25440</v>
      </c>
      <c r="M52" s="45">
        <v>0</v>
      </c>
      <c r="N52" s="46">
        <v>0</v>
      </c>
      <c r="O52" s="45">
        <v>4400</v>
      </c>
      <c r="P52" s="47">
        <v>42820</v>
      </c>
      <c r="Q52" s="43">
        <v>0</v>
      </c>
      <c r="R52" s="43">
        <v>360</v>
      </c>
      <c r="S52" s="48">
        <f t="shared" si="10"/>
        <v>42460</v>
      </c>
      <c r="T52" s="49">
        <v>13040</v>
      </c>
      <c r="U52" s="44">
        <v>145.19500500000001</v>
      </c>
      <c r="V52" s="47">
        <v>22777.173824669997</v>
      </c>
      <c r="W52" s="43">
        <v>0</v>
      </c>
      <c r="X52" s="43">
        <v>0</v>
      </c>
      <c r="Y52" s="48">
        <f t="shared" si="11"/>
        <v>22777.173824669997</v>
      </c>
      <c r="Z52" s="49">
        <v>20000</v>
      </c>
      <c r="AA52" s="43">
        <v>0</v>
      </c>
      <c r="AB52" s="43">
        <v>0</v>
      </c>
      <c r="AC52" s="43">
        <v>0</v>
      </c>
      <c r="AD52" s="43">
        <v>0</v>
      </c>
      <c r="AE52" s="44">
        <v>20000</v>
      </c>
      <c r="AF52" s="47">
        <v>0</v>
      </c>
      <c r="AG52" s="50">
        <v>0</v>
      </c>
      <c r="AH52" s="49">
        <v>13910</v>
      </c>
      <c r="AI52" s="44">
        <v>5200</v>
      </c>
      <c r="AJ52" s="51" t="s">
        <v>128</v>
      </c>
    </row>
    <row r="53" spans="1:36" s="51" customFormat="1" ht="29.25" customHeight="1" x14ac:dyDescent="0.3">
      <c r="A53" s="106">
        <v>44</v>
      </c>
      <c r="B53" s="42" t="s">
        <v>129</v>
      </c>
      <c r="C53" s="102">
        <f t="shared" si="6"/>
        <v>1489391.74366481</v>
      </c>
      <c r="D53" s="103">
        <f t="shared" si="7"/>
        <v>999591.74366480997</v>
      </c>
      <c r="E53" s="104">
        <f t="shared" si="12"/>
        <v>544550</v>
      </c>
      <c r="F53" s="43">
        <v>353200</v>
      </c>
      <c r="G53" s="43">
        <v>190</v>
      </c>
      <c r="H53" s="43">
        <v>189850</v>
      </c>
      <c r="I53" s="44">
        <v>1310</v>
      </c>
      <c r="J53" s="105">
        <v>126840</v>
      </c>
      <c r="K53" s="107">
        <v>34760</v>
      </c>
      <c r="L53" s="108">
        <f t="shared" si="9"/>
        <v>92080</v>
      </c>
      <c r="M53" s="45">
        <v>0</v>
      </c>
      <c r="N53" s="46">
        <v>0</v>
      </c>
      <c r="O53" s="45">
        <v>9000</v>
      </c>
      <c r="P53" s="47">
        <v>227000</v>
      </c>
      <c r="Q53" s="43">
        <v>0</v>
      </c>
      <c r="R53" s="43">
        <v>91980</v>
      </c>
      <c r="S53" s="48">
        <f t="shared" si="10"/>
        <v>135020</v>
      </c>
      <c r="T53" s="49">
        <v>6000</v>
      </c>
      <c r="U53" s="44">
        <v>207.0323525</v>
      </c>
      <c r="V53" s="47">
        <v>59501.743664809997</v>
      </c>
      <c r="W53" s="43">
        <v>0</v>
      </c>
      <c r="X53" s="43">
        <v>0</v>
      </c>
      <c r="Y53" s="48">
        <f t="shared" si="11"/>
        <v>59501.743664809997</v>
      </c>
      <c r="Z53" s="49">
        <v>489800</v>
      </c>
      <c r="AA53" s="43">
        <v>0</v>
      </c>
      <c r="AB53" s="43">
        <v>469800</v>
      </c>
      <c r="AC53" s="43">
        <v>0</v>
      </c>
      <c r="AD53" s="43">
        <v>0</v>
      </c>
      <c r="AE53" s="44">
        <v>20000</v>
      </c>
      <c r="AF53" s="47">
        <v>0</v>
      </c>
      <c r="AG53" s="50">
        <v>0</v>
      </c>
      <c r="AH53" s="49">
        <v>26700</v>
      </c>
      <c r="AI53" s="44">
        <v>780</v>
      </c>
      <c r="AJ53" s="51" t="s">
        <v>130</v>
      </c>
    </row>
    <row r="54" spans="1:36" s="51" customFormat="1" ht="29.25" customHeight="1" x14ac:dyDescent="0.3">
      <c r="A54" s="106">
        <v>45</v>
      </c>
      <c r="B54" s="42" t="s">
        <v>131</v>
      </c>
      <c r="C54" s="102">
        <f t="shared" si="6"/>
        <v>10740053.111820931</v>
      </c>
      <c r="D54" s="103">
        <f t="shared" si="7"/>
        <v>1862053.1118209306</v>
      </c>
      <c r="E54" s="104">
        <f t="shared" si="12"/>
        <v>1140460</v>
      </c>
      <c r="F54" s="43">
        <v>458400</v>
      </c>
      <c r="G54" s="43">
        <v>1530</v>
      </c>
      <c r="H54" s="43">
        <v>678410</v>
      </c>
      <c r="I54" s="44">
        <v>2120</v>
      </c>
      <c r="J54" s="105">
        <v>151500</v>
      </c>
      <c r="K54" s="107">
        <v>57280</v>
      </c>
      <c r="L54" s="108">
        <f t="shared" si="9"/>
        <v>94220</v>
      </c>
      <c r="M54" s="45">
        <v>0</v>
      </c>
      <c r="N54" s="46">
        <v>0</v>
      </c>
      <c r="O54" s="45">
        <v>13100</v>
      </c>
      <c r="P54" s="47">
        <v>373210</v>
      </c>
      <c r="Q54" s="43">
        <v>48970</v>
      </c>
      <c r="R54" s="43">
        <v>104950</v>
      </c>
      <c r="S54" s="48">
        <f t="shared" si="10"/>
        <v>219290</v>
      </c>
      <c r="T54" s="49">
        <v>5330</v>
      </c>
      <c r="U54" s="44">
        <v>157.64750000000001</v>
      </c>
      <c r="V54" s="47">
        <v>166633.11182093</v>
      </c>
      <c r="W54" s="43">
        <v>0</v>
      </c>
      <c r="X54" s="43">
        <v>127460</v>
      </c>
      <c r="Y54" s="48">
        <f t="shared" si="11"/>
        <v>39173.111820930004</v>
      </c>
      <c r="Z54" s="49">
        <v>8878000</v>
      </c>
      <c r="AA54" s="43">
        <v>0</v>
      </c>
      <c r="AB54" s="43">
        <v>0</v>
      </c>
      <c r="AC54" s="43">
        <v>0</v>
      </c>
      <c r="AD54" s="43">
        <v>8858000</v>
      </c>
      <c r="AE54" s="44">
        <v>20000</v>
      </c>
      <c r="AF54" s="47">
        <v>0</v>
      </c>
      <c r="AG54" s="50">
        <v>0</v>
      </c>
      <c r="AH54" s="49">
        <v>11820</v>
      </c>
      <c r="AI54" s="44">
        <v>7800</v>
      </c>
      <c r="AJ54" s="51" t="s">
        <v>132</v>
      </c>
    </row>
    <row r="55" spans="1:36" s="51" customFormat="1" ht="29.25" customHeight="1" x14ac:dyDescent="0.3">
      <c r="A55" s="106">
        <v>46</v>
      </c>
      <c r="B55" s="42" t="s">
        <v>133</v>
      </c>
      <c r="C55" s="102">
        <f t="shared" si="6"/>
        <v>955100.11493768997</v>
      </c>
      <c r="D55" s="103">
        <f t="shared" si="7"/>
        <v>949100.11493768997</v>
      </c>
      <c r="E55" s="104">
        <f t="shared" si="12"/>
        <v>650640</v>
      </c>
      <c r="F55" s="43">
        <v>278840</v>
      </c>
      <c r="G55" s="43">
        <v>3470</v>
      </c>
      <c r="H55" s="43">
        <v>368320</v>
      </c>
      <c r="I55" s="44">
        <v>10</v>
      </c>
      <c r="J55" s="105">
        <v>80960</v>
      </c>
      <c r="K55" s="107">
        <v>19800</v>
      </c>
      <c r="L55" s="108">
        <f t="shared" si="9"/>
        <v>61160</v>
      </c>
      <c r="M55" s="45">
        <v>0</v>
      </c>
      <c r="N55" s="46">
        <v>0</v>
      </c>
      <c r="O55" s="45">
        <v>12400</v>
      </c>
      <c r="P55" s="47">
        <v>137640</v>
      </c>
      <c r="Q55" s="43">
        <v>0</v>
      </c>
      <c r="R55" s="43">
        <v>8390</v>
      </c>
      <c r="S55" s="48">
        <f t="shared" si="10"/>
        <v>129250</v>
      </c>
      <c r="T55" s="49">
        <v>2170</v>
      </c>
      <c r="U55" s="44">
        <v>272.57749999999999</v>
      </c>
      <c r="V55" s="47">
        <v>38990.114937689999</v>
      </c>
      <c r="W55" s="43">
        <v>0</v>
      </c>
      <c r="X55" s="43">
        <v>0</v>
      </c>
      <c r="Y55" s="48">
        <f t="shared" si="11"/>
        <v>38990.114937689999</v>
      </c>
      <c r="Z55" s="49">
        <v>6000</v>
      </c>
      <c r="AA55" s="43">
        <v>0</v>
      </c>
      <c r="AB55" s="43">
        <v>0</v>
      </c>
      <c r="AC55" s="43">
        <v>0</v>
      </c>
      <c r="AD55" s="43">
        <v>0</v>
      </c>
      <c r="AE55" s="44">
        <v>6000</v>
      </c>
      <c r="AF55" s="47">
        <v>0</v>
      </c>
      <c r="AG55" s="50">
        <v>0</v>
      </c>
      <c r="AH55" s="49">
        <v>26300</v>
      </c>
      <c r="AI55" s="44">
        <v>15600</v>
      </c>
      <c r="AJ55" s="51" t="s">
        <v>134</v>
      </c>
    </row>
    <row r="56" spans="1:36" s="51" customFormat="1" ht="29.25" customHeight="1" x14ac:dyDescent="0.3">
      <c r="A56" s="106">
        <v>47</v>
      </c>
      <c r="B56" s="42" t="s">
        <v>135</v>
      </c>
      <c r="C56" s="102">
        <f t="shared" si="6"/>
        <v>432743.00028117001</v>
      </c>
      <c r="D56" s="103">
        <f t="shared" si="7"/>
        <v>153043.00028117001</v>
      </c>
      <c r="E56" s="104">
        <f t="shared" si="12"/>
        <v>78300</v>
      </c>
      <c r="F56" s="43">
        <v>53820</v>
      </c>
      <c r="G56" s="43">
        <v>0</v>
      </c>
      <c r="H56" s="43">
        <v>24420</v>
      </c>
      <c r="I56" s="44">
        <v>60</v>
      </c>
      <c r="J56" s="105">
        <v>26330</v>
      </c>
      <c r="K56" s="107">
        <v>11650</v>
      </c>
      <c r="L56" s="108">
        <f t="shared" si="9"/>
        <v>14680</v>
      </c>
      <c r="M56" s="45">
        <v>0</v>
      </c>
      <c r="N56" s="46">
        <v>0</v>
      </c>
      <c r="O56" s="45">
        <v>3400</v>
      </c>
      <c r="P56" s="47">
        <v>32040</v>
      </c>
      <c r="Q56" s="43">
        <v>0</v>
      </c>
      <c r="R56" s="43">
        <v>330</v>
      </c>
      <c r="S56" s="48">
        <f t="shared" si="10"/>
        <v>31710</v>
      </c>
      <c r="T56" s="49">
        <v>1740</v>
      </c>
      <c r="U56" s="44">
        <v>107.6075</v>
      </c>
      <c r="V56" s="47">
        <v>9843.0002811699997</v>
      </c>
      <c r="W56" s="43">
        <v>0</v>
      </c>
      <c r="X56" s="43">
        <v>0</v>
      </c>
      <c r="Y56" s="48">
        <f t="shared" si="11"/>
        <v>9843.0002811699997</v>
      </c>
      <c r="Z56" s="49">
        <v>279700</v>
      </c>
      <c r="AA56" s="43">
        <v>0</v>
      </c>
      <c r="AB56" s="43">
        <v>259700</v>
      </c>
      <c r="AC56" s="43">
        <v>0</v>
      </c>
      <c r="AD56" s="43">
        <v>0</v>
      </c>
      <c r="AE56" s="44">
        <v>20000</v>
      </c>
      <c r="AF56" s="47">
        <v>0</v>
      </c>
      <c r="AG56" s="50">
        <v>0</v>
      </c>
      <c r="AH56" s="49">
        <v>1390</v>
      </c>
      <c r="AI56" s="44">
        <v>1170</v>
      </c>
      <c r="AJ56" s="51" t="s">
        <v>136</v>
      </c>
    </row>
    <row r="57" spans="1:36" s="51" customFormat="1" ht="29.25" customHeight="1" x14ac:dyDescent="0.3">
      <c r="A57" s="106">
        <v>48</v>
      </c>
      <c r="B57" s="42" t="s">
        <v>137</v>
      </c>
      <c r="C57" s="102">
        <f t="shared" si="6"/>
        <v>1325526.6821082772</v>
      </c>
      <c r="D57" s="103">
        <f t="shared" si="7"/>
        <v>1221326.6821082772</v>
      </c>
      <c r="E57" s="104">
        <f t="shared" si="12"/>
        <v>823440</v>
      </c>
      <c r="F57" s="43">
        <v>465780</v>
      </c>
      <c r="G57" s="43">
        <v>650</v>
      </c>
      <c r="H57" s="43">
        <v>357010</v>
      </c>
      <c r="I57" s="44">
        <v>0</v>
      </c>
      <c r="J57" s="105">
        <v>84960</v>
      </c>
      <c r="K57" s="107">
        <v>14140</v>
      </c>
      <c r="L57" s="108">
        <f t="shared" si="9"/>
        <v>70820</v>
      </c>
      <c r="M57" s="45">
        <v>0</v>
      </c>
      <c r="N57" s="46">
        <v>0</v>
      </c>
      <c r="O57" s="45">
        <v>4300</v>
      </c>
      <c r="P57" s="47">
        <v>135370</v>
      </c>
      <c r="Q57" s="43">
        <v>0</v>
      </c>
      <c r="R57" s="43">
        <v>28370</v>
      </c>
      <c r="S57" s="48">
        <f t="shared" si="10"/>
        <v>107000</v>
      </c>
      <c r="T57" s="49">
        <v>18300</v>
      </c>
      <c r="U57" s="44">
        <v>131.55000000000001</v>
      </c>
      <c r="V57" s="47">
        <v>134566.68210827713</v>
      </c>
      <c r="W57" s="43">
        <v>100000</v>
      </c>
      <c r="X57" s="43">
        <v>0</v>
      </c>
      <c r="Y57" s="48">
        <f t="shared" si="11"/>
        <v>34566.682108277135</v>
      </c>
      <c r="Z57" s="49">
        <v>104200</v>
      </c>
      <c r="AA57" s="43">
        <v>97200</v>
      </c>
      <c r="AB57" s="43">
        <v>0</v>
      </c>
      <c r="AC57" s="43">
        <v>0</v>
      </c>
      <c r="AD57" s="43">
        <v>0</v>
      </c>
      <c r="AE57" s="44">
        <v>7000</v>
      </c>
      <c r="AF57" s="47">
        <v>0</v>
      </c>
      <c r="AG57" s="50">
        <v>0</v>
      </c>
      <c r="AH57" s="49">
        <v>20390</v>
      </c>
      <c r="AI57" s="44">
        <v>1300</v>
      </c>
      <c r="AJ57" s="51" t="s">
        <v>138</v>
      </c>
    </row>
    <row r="58" spans="1:36" s="51" customFormat="1" ht="29.25" customHeight="1" x14ac:dyDescent="0.3">
      <c r="A58" s="106">
        <v>49</v>
      </c>
      <c r="B58" s="42" t="s">
        <v>139</v>
      </c>
      <c r="C58" s="102">
        <f t="shared" si="6"/>
        <v>410734.21463096997</v>
      </c>
      <c r="D58" s="103">
        <f t="shared" si="7"/>
        <v>350734.21463096997</v>
      </c>
      <c r="E58" s="104">
        <f t="shared" si="12"/>
        <v>190700</v>
      </c>
      <c r="F58" s="43">
        <v>131290</v>
      </c>
      <c r="G58" s="43">
        <v>40</v>
      </c>
      <c r="H58" s="43">
        <v>59370</v>
      </c>
      <c r="I58" s="44">
        <v>0</v>
      </c>
      <c r="J58" s="105">
        <v>46900</v>
      </c>
      <c r="K58" s="107">
        <v>11630</v>
      </c>
      <c r="L58" s="108">
        <f t="shared" si="9"/>
        <v>35270</v>
      </c>
      <c r="M58" s="45">
        <v>0</v>
      </c>
      <c r="N58" s="46">
        <v>0</v>
      </c>
      <c r="O58" s="45">
        <v>5600</v>
      </c>
      <c r="P58" s="47">
        <v>35230</v>
      </c>
      <c r="Q58" s="43">
        <v>0</v>
      </c>
      <c r="R58" s="43">
        <v>360</v>
      </c>
      <c r="S58" s="48">
        <f t="shared" si="10"/>
        <v>34870</v>
      </c>
      <c r="T58" s="49">
        <v>33380</v>
      </c>
      <c r="U58" s="44">
        <v>390.36</v>
      </c>
      <c r="V58" s="47">
        <v>23124.21463097</v>
      </c>
      <c r="W58" s="43">
        <v>0</v>
      </c>
      <c r="X58" s="43">
        <v>0</v>
      </c>
      <c r="Y58" s="48">
        <f t="shared" si="11"/>
        <v>23124.21463097</v>
      </c>
      <c r="Z58" s="49">
        <v>60000</v>
      </c>
      <c r="AA58" s="43">
        <v>58500</v>
      </c>
      <c r="AB58" s="43">
        <v>0</v>
      </c>
      <c r="AC58" s="43">
        <v>0</v>
      </c>
      <c r="AD58" s="43">
        <v>0</v>
      </c>
      <c r="AE58" s="44">
        <v>1500</v>
      </c>
      <c r="AF58" s="47">
        <v>0</v>
      </c>
      <c r="AG58" s="50">
        <v>7200</v>
      </c>
      <c r="AH58" s="49">
        <v>8600</v>
      </c>
      <c r="AI58" s="44">
        <v>520</v>
      </c>
      <c r="AJ58" s="51" t="s">
        <v>140</v>
      </c>
    </row>
    <row r="59" spans="1:36" s="51" customFormat="1" ht="29.25" customHeight="1" x14ac:dyDescent="0.3">
      <c r="A59" s="106">
        <v>50</v>
      </c>
      <c r="B59" s="42" t="s">
        <v>141</v>
      </c>
      <c r="C59" s="102">
        <f t="shared" si="6"/>
        <v>720374.53518233006</v>
      </c>
      <c r="D59" s="103">
        <f t="shared" si="7"/>
        <v>270674.53518233006</v>
      </c>
      <c r="E59" s="104">
        <f t="shared" si="12"/>
        <v>118260</v>
      </c>
      <c r="F59" s="43">
        <v>98480</v>
      </c>
      <c r="G59" s="43">
        <v>60</v>
      </c>
      <c r="H59" s="43">
        <v>19710</v>
      </c>
      <c r="I59" s="44">
        <v>10</v>
      </c>
      <c r="J59" s="105">
        <v>58520</v>
      </c>
      <c r="K59" s="107">
        <v>22420</v>
      </c>
      <c r="L59" s="108">
        <f t="shared" si="9"/>
        <v>36100</v>
      </c>
      <c r="M59" s="45">
        <v>0</v>
      </c>
      <c r="N59" s="46">
        <v>0</v>
      </c>
      <c r="O59" s="45">
        <v>5800</v>
      </c>
      <c r="P59" s="47">
        <v>56720</v>
      </c>
      <c r="Q59" s="43">
        <v>0</v>
      </c>
      <c r="R59" s="43">
        <v>180</v>
      </c>
      <c r="S59" s="48">
        <f t="shared" si="10"/>
        <v>56540</v>
      </c>
      <c r="T59" s="49">
        <v>14320</v>
      </c>
      <c r="U59" s="44">
        <v>35.51</v>
      </c>
      <c r="V59" s="47">
        <v>15054.535182330001</v>
      </c>
      <c r="W59" s="43">
        <v>0</v>
      </c>
      <c r="X59" s="43">
        <v>0</v>
      </c>
      <c r="Y59" s="48">
        <f t="shared" si="11"/>
        <v>15054.535182330001</v>
      </c>
      <c r="Z59" s="49">
        <v>449700</v>
      </c>
      <c r="AA59" s="43">
        <v>169200</v>
      </c>
      <c r="AB59" s="43">
        <v>270500</v>
      </c>
      <c r="AC59" s="43">
        <v>0</v>
      </c>
      <c r="AD59" s="43">
        <v>0</v>
      </c>
      <c r="AE59" s="44">
        <v>10000</v>
      </c>
      <c r="AF59" s="47">
        <v>100</v>
      </c>
      <c r="AG59" s="50">
        <v>0</v>
      </c>
      <c r="AH59" s="49">
        <v>1900</v>
      </c>
      <c r="AI59" s="44">
        <v>520</v>
      </c>
      <c r="AJ59" s="51" t="s">
        <v>142</v>
      </c>
    </row>
    <row r="60" spans="1:36" s="51" customFormat="1" ht="29.25" customHeight="1" x14ac:dyDescent="0.3">
      <c r="A60" s="106">
        <v>51</v>
      </c>
      <c r="B60" s="42" t="s">
        <v>143</v>
      </c>
      <c r="C60" s="102">
        <f t="shared" si="6"/>
        <v>232827.33722337999</v>
      </c>
      <c r="D60" s="103">
        <f t="shared" si="7"/>
        <v>181527.33722337999</v>
      </c>
      <c r="E60" s="104">
        <f t="shared" si="12"/>
        <v>84750</v>
      </c>
      <c r="F60" s="43">
        <v>64960</v>
      </c>
      <c r="G60" s="43">
        <v>0</v>
      </c>
      <c r="H60" s="43">
        <v>19590</v>
      </c>
      <c r="I60" s="44">
        <v>200</v>
      </c>
      <c r="J60" s="105">
        <v>31800</v>
      </c>
      <c r="K60" s="107">
        <v>10780</v>
      </c>
      <c r="L60" s="108">
        <f t="shared" si="9"/>
        <v>21020</v>
      </c>
      <c r="M60" s="45">
        <v>0</v>
      </c>
      <c r="N60" s="46">
        <v>0</v>
      </c>
      <c r="O60" s="45">
        <v>3150</v>
      </c>
      <c r="P60" s="47">
        <v>23870</v>
      </c>
      <c r="Q60" s="43">
        <v>0</v>
      </c>
      <c r="R60" s="43">
        <v>0</v>
      </c>
      <c r="S60" s="48">
        <f t="shared" si="10"/>
        <v>23870</v>
      </c>
      <c r="T60" s="49">
        <v>8590</v>
      </c>
      <c r="U60" s="44">
        <v>214.238955</v>
      </c>
      <c r="V60" s="47">
        <v>9377.3372233800001</v>
      </c>
      <c r="W60" s="43">
        <v>0</v>
      </c>
      <c r="X60" s="43">
        <v>0</v>
      </c>
      <c r="Y60" s="48">
        <f t="shared" si="11"/>
        <v>9377.3372233800001</v>
      </c>
      <c r="Z60" s="49">
        <v>51300</v>
      </c>
      <c r="AA60" s="43">
        <v>41300</v>
      </c>
      <c r="AB60" s="43">
        <v>0</v>
      </c>
      <c r="AC60" s="43">
        <v>0</v>
      </c>
      <c r="AD60" s="43">
        <v>0</v>
      </c>
      <c r="AE60" s="44">
        <v>10000</v>
      </c>
      <c r="AF60" s="47">
        <v>0</v>
      </c>
      <c r="AG60" s="50">
        <v>900</v>
      </c>
      <c r="AH60" s="49">
        <v>19090</v>
      </c>
      <c r="AI60" s="44">
        <v>150</v>
      </c>
      <c r="AJ60" s="51" t="s">
        <v>144</v>
      </c>
    </row>
    <row r="61" spans="1:36" s="56" customFormat="1" ht="29.25" customHeight="1" x14ac:dyDescent="0.3">
      <c r="A61" s="116" t="s">
        <v>145</v>
      </c>
      <c r="B61" s="117" t="s">
        <v>146</v>
      </c>
      <c r="C61" s="118">
        <f>SUM(C62:C136)</f>
        <v>67441344.232227102</v>
      </c>
      <c r="D61" s="119">
        <f t="shared" ref="D61:S61" si="13">SUM(D62:D136)</f>
        <v>32363254.232227083</v>
      </c>
      <c r="E61" s="120">
        <f t="shared" si="13"/>
        <v>13920360</v>
      </c>
      <c r="F61" s="121">
        <f t="shared" si="13"/>
        <v>8433800</v>
      </c>
      <c r="G61" s="121">
        <f t="shared" si="13"/>
        <v>435250</v>
      </c>
      <c r="H61" s="121">
        <f t="shared" si="13"/>
        <v>5044130</v>
      </c>
      <c r="I61" s="122">
        <f t="shared" si="13"/>
        <v>7180</v>
      </c>
      <c r="J61" s="52">
        <f t="shared" si="13"/>
        <v>3020430</v>
      </c>
      <c r="K61" s="123">
        <f t="shared" si="13"/>
        <v>684820</v>
      </c>
      <c r="L61" s="124">
        <f t="shared" si="13"/>
        <v>2335610</v>
      </c>
      <c r="M61" s="54">
        <f t="shared" si="13"/>
        <v>76750</v>
      </c>
      <c r="N61" s="125">
        <f t="shared" si="13"/>
        <v>100</v>
      </c>
      <c r="O61" s="54">
        <f t="shared" si="13"/>
        <v>187810.07427700001</v>
      </c>
      <c r="P61" s="55">
        <f t="shared" si="13"/>
        <v>4539410</v>
      </c>
      <c r="Q61" s="121">
        <f t="shared" si="13"/>
        <v>184490</v>
      </c>
      <c r="R61" s="121">
        <f t="shared" si="13"/>
        <v>1352320</v>
      </c>
      <c r="S61" s="126">
        <f t="shared" si="13"/>
        <v>3002600</v>
      </c>
      <c r="T61" s="53">
        <f>SUM(T62:T136)</f>
        <v>1077300</v>
      </c>
      <c r="U61" s="122">
        <f t="shared" ref="U61:AI61" si="14">SUM(U62:U136)</f>
        <v>16043.084704999999</v>
      </c>
      <c r="V61" s="55">
        <f t="shared" si="14"/>
        <v>8170329.1579500865</v>
      </c>
      <c r="W61" s="121">
        <f t="shared" si="14"/>
        <v>7282316.5475495886</v>
      </c>
      <c r="X61" s="121">
        <f t="shared" si="14"/>
        <v>28750</v>
      </c>
      <c r="Y61" s="126">
        <f t="shared" si="14"/>
        <v>859262.61040050001</v>
      </c>
      <c r="Z61" s="53">
        <f t="shared" si="14"/>
        <v>35078090</v>
      </c>
      <c r="AA61" s="121">
        <f t="shared" si="14"/>
        <v>13051200</v>
      </c>
      <c r="AB61" s="121">
        <f t="shared" si="14"/>
        <v>4917590</v>
      </c>
      <c r="AC61" s="121">
        <f t="shared" si="14"/>
        <v>11180800</v>
      </c>
      <c r="AD61" s="121">
        <f t="shared" si="14"/>
        <v>5366000</v>
      </c>
      <c r="AE61" s="122">
        <f t="shared" si="14"/>
        <v>562500</v>
      </c>
      <c r="AF61" s="55">
        <f t="shared" si="14"/>
        <v>9666</v>
      </c>
      <c r="AG61" s="126">
        <f t="shared" si="14"/>
        <v>721389</v>
      </c>
      <c r="AH61" s="53">
        <f t="shared" si="14"/>
        <v>639710</v>
      </c>
      <c r="AI61" s="122">
        <f t="shared" si="14"/>
        <v>141276</v>
      </c>
    </row>
    <row r="62" spans="1:36" s="51" customFormat="1" ht="29.25" customHeight="1" x14ac:dyDescent="0.3">
      <c r="A62" s="106">
        <v>52</v>
      </c>
      <c r="B62" s="42" t="s">
        <v>147</v>
      </c>
      <c r="C62" s="102">
        <f t="shared" ref="C62:C125" si="15">+E62+J62+M62+N62+O62+P62+T62+V62+Z62+AF62+AG62+AH62</f>
        <v>2226350.7662507701</v>
      </c>
      <c r="D62" s="103">
        <f t="shared" ref="D62:D125" si="16">+C62-Z62</f>
        <v>1742450.7662507701</v>
      </c>
      <c r="E62" s="104">
        <f t="shared" ref="E62:E125" si="17">SUM(F62:I62)</f>
        <v>295680</v>
      </c>
      <c r="F62" s="43">
        <v>199520</v>
      </c>
      <c r="G62" s="43">
        <v>26950</v>
      </c>
      <c r="H62" s="43">
        <v>68790</v>
      </c>
      <c r="I62" s="44">
        <v>420</v>
      </c>
      <c r="J62" s="105">
        <v>93600</v>
      </c>
      <c r="K62" s="107">
        <v>8630</v>
      </c>
      <c r="L62" s="108">
        <f t="shared" si="9"/>
        <v>84970</v>
      </c>
      <c r="M62" s="45">
        <v>0</v>
      </c>
      <c r="N62" s="46">
        <v>0</v>
      </c>
      <c r="O62" s="45">
        <v>4140</v>
      </c>
      <c r="P62" s="47">
        <v>50930</v>
      </c>
      <c r="Q62" s="43">
        <v>0</v>
      </c>
      <c r="R62" s="43">
        <v>7630</v>
      </c>
      <c r="S62" s="48">
        <f t="shared" si="10"/>
        <v>43300</v>
      </c>
      <c r="T62" s="49">
        <v>33820</v>
      </c>
      <c r="U62" s="44">
        <v>318.91732250000001</v>
      </c>
      <c r="V62" s="47">
        <v>1218937.7662507701</v>
      </c>
      <c r="W62" s="43">
        <v>1200000</v>
      </c>
      <c r="X62" s="43">
        <v>0</v>
      </c>
      <c r="Y62" s="48">
        <f t="shared" ref="Y62:Y125" si="18">V62-W62-X62</f>
        <v>18937.766250770073</v>
      </c>
      <c r="Z62" s="49">
        <v>483900</v>
      </c>
      <c r="AA62" s="43">
        <v>168900</v>
      </c>
      <c r="AB62" s="43">
        <v>0</v>
      </c>
      <c r="AC62" s="43">
        <v>0</v>
      </c>
      <c r="AD62" s="43">
        <v>311000</v>
      </c>
      <c r="AE62" s="44">
        <v>4000</v>
      </c>
      <c r="AF62" s="47">
        <v>1787</v>
      </c>
      <c r="AG62" s="50">
        <v>7546</v>
      </c>
      <c r="AH62" s="49">
        <v>36010</v>
      </c>
      <c r="AI62" s="44">
        <v>1872</v>
      </c>
      <c r="AJ62" s="51" t="s">
        <v>148</v>
      </c>
    </row>
    <row r="63" spans="1:36" s="51" customFormat="1" ht="29.25" customHeight="1" x14ac:dyDescent="0.3">
      <c r="A63" s="106">
        <v>53</v>
      </c>
      <c r="B63" s="42" t="s">
        <v>149</v>
      </c>
      <c r="C63" s="102">
        <f t="shared" si="15"/>
        <v>337092.96552413999</v>
      </c>
      <c r="D63" s="103">
        <f t="shared" si="16"/>
        <v>91692.965524139989</v>
      </c>
      <c r="E63" s="104">
        <f t="shared" si="17"/>
        <v>22530</v>
      </c>
      <c r="F63" s="43">
        <v>18100</v>
      </c>
      <c r="G63" s="43">
        <v>0</v>
      </c>
      <c r="H63" s="43">
        <v>4130</v>
      </c>
      <c r="I63" s="44">
        <v>300</v>
      </c>
      <c r="J63" s="105">
        <v>26970</v>
      </c>
      <c r="K63" s="107">
        <v>1280</v>
      </c>
      <c r="L63" s="108">
        <f t="shared" si="9"/>
        <v>25690</v>
      </c>
      <c r="M63" s="45">
        <v>0</v>
      </c>
      <c r="N63" s="46">
        <v>0</v>
      </c>
      <c r="O63" s="45">
        <v>900</v>
      </c>
      <c r="P63" s="47">
        <v>13060</v>
      </c>
      <c r="Q63" s="43">
        <v>0</v>
      </c>
      <c r="R63" s="43">
        <v>450</v>
      </c>
      <c r="S63" s="48">
        <f t="shared" si="10"/>
        <v>12610</v>
      </c>
      <c r="T63" s="49">
        <v>11970</v>
      </c>
      <c r="U63" s="44">
        <v>271.52597250000002</v>
      </c>
      <c r="V63" s="47">
        <v>452.96552414000001</v>
      </c>
      <c r="W63" s="43">
        <v>0</v>
      </c>
      <c r="X63" s="43">
        <v>0</v>
      </c>
      <c r="Y63" s="48">
        <f t="shared" si="18"/>
        <v>452.96552414000001</v>
      </c>
      <c r="Z63" s="49">
        <v>245400</v>
      </c>
      <c r="AA63" s="43">
        <v>235400</v>
      </c>
      <c r="AB63" s="43">
        <v>0</v>
      </c>
      <c r="AC63" s="43">
        <v>0</v>
      </c>
      <c r="AD63" s="43">
        <v>0</v>
      </c>
      <c r="AE63" s="44">
        <v>10000</v>
      </c>
      <c r="AF63" s="47">
        <v>0</v>
      </c>
      <c r="AG63" s="50">
        <v>7000</v>
      </c>
      <c r="AH63" s="49">
        <v>8810</v>
      </c>
      <c r="AI63" s="44">
        <v>2184</v>
      </c>
      <c r="AJ63" s="51" t="s">
        <v>150</v>
      </c>
    </row>
    <row r="64" spans="1:36" s="51" customFormat="1" ht="29.25" customHeight="1" x14ac:dyDescent="0.3">
      <c r="A64" s="106">
        <v>54</v>
      </c>
      <c r="B64" s="42" t="s">
        <v>151</v>
      </c>
      <c r="C64" s="102">
        <f t="shared" si="15"/>
        <v>1310607.82256401</v>
      </c>
      <c r="D64" s="103">
        <f t="shared" si="16"/>
        <v>1011107.82256401</v>
      </c>
      <c r="E64" s="104">
        <f t="shared" si="17"/>
        <v>603460</v>
      </c>
      <c r="F64" s="43">
        <v>233590</v>
      </c>
      <c r="G64" s="43">
        <v>62000</v>
      </c>
      <c r="H64" s="43">
        <v>307870</v>
      </c>
      <c r="I64" s="44">
        <v>0</v>
      </c>
      <c r="J64" s="105">
        <v>61190</v>
      </c>
      <c r="K64" s="107">
        <v>6480</v>
      </c>
      <c r="L64" s="108">
        <f t="shared" si="9"/>
        <v>54710</v>
      </c>
      <c r="M64" s="45">
        <v>0</v>
      </c>
      <c r="N64" s="46">
        <v>0</v>
      </c>
      <c r="O64" s="45">
        <v>1750</v>
      </c>
      <c r="P64" s="47">
        <v>93960</v>
      </c>
      <c r="Q64" s="43">
        <v>0</v>
      </c>
      <c r="R64" s="43">
        <v>62080</v>
      </c>
      <c r="S64" s="48">
        <f t="shared" si="10"/>
        <v>31880</v>
      </c>
      <c r="T64" s="49">
        <v>194290</v>
      </c>
      <c r="U64" s="44">
        <v>310.78500000000003</v>
      </c>
      <c r="V64" s="47">
        <v>43127.822564009999</v>
      </c>
      <c r="W64" s="43">
        <v>0</v>
      </c>
      <c r="X64" s="43">
        <v>0</v>
      </c>
      <c r="Y64" s="48">
        <f t="shared" si="18"/>
        <v>43127.822564009999</v>
      </c>
      <c r="Z64" s="49">
        <v>299500</v>
      </c>
      <c r="AA64" s="43">
        <v>295500</v>
      </c>
      <c r="AB64" s="43">
        <v>0</v>
      </c>
      <c r="AC64" s="43">
        <v>0</v>
      </c>
      <c r="AD64" s="43">
        <v>0</v>
      </c>
      <c r="AE64" s="44">
        <v>4000</v>
      </c>
      <c r="AF64" s="47">
        <v>0</v>
      </c>
      <c r="AG64" s="50">
        <v>4650</v>
      </c>
      <c r="AH64" s="49">
        <v>8680</v>
      </c>
      <c r="AI64" s="44">
        <v>3432</v>
      </c>
      <c r="AJ64" s="51" t="s">
        <v>152</v>
      </c>
    </row>
    <row r="65" spans="1:36" s="51" customFormat="1" ht="29.25" customHeight="1" x14ac:dyDescent="0.3">
      <c r="A65" s="106">
        <v>55</v>
      </c>
      <c r="B65" s="42" t="s">
        <v>153</v>
      </c>
      <c r="C65" s="102">
        <f t="shared" si="15"/>
        <v>281984.82041417999</v>
      </c>
      <c r="D65" s="103">
        <f t="shared" si="16"/>
        <v>122484.82041417999</v>
      </c>
      <c r="E65" s="104">
        <f t="shared" si="17"/>
        <v>59540</v>
      </c>
      <c r="F65" s="43">
        <v>50450</v>
      </c>
      <c r="G65" s="43">
        <v>20</v>
      </c>
      <c r="H65" s="43">
        <v>9050</v>
      </c>
      <c r="I65" s="44">
        <v>20</v>
      </c>
      <c r="J65" s="105">
        <v>28200</v>
      </c>
      <c r="K65" s="107">
        <v>6060</v>
      </c>
      <c r="L65" s="108">
        <f t="shared" si="9"/>
        <v>22140</v>
      </c>
      <c r="M65" s="45">
        <v>0</v>
      </c>
      <c r="N65" s="46">
        <v>0</v>
      </c>
      <c r="O65" s="45">
        <v>1500</v>
      </c>
      <c r="P65" s="47">
        <v>14500</v>
      </c>
      <c r="Q65" s="43">
        <v>0</v>
      </c>
      <c r="R65" s="43">
        <v>0</v>
      </c>
      <c r="S65" s="48">
        <f t="shared" si="10"/>
        <v>14500</v>
      </c>
      <c r="T65" s="49">
        <v>6550</v>
      </c>
      <c r="U65" s="44">
        <v>236.01</v>
      </c>
      <c r="V65" s="47">
        <v>2114.8204141800002</v>
      </c>
      <c r="W65" s="43">
        <v>0</v>
      </c>
      <c r="X65" s="43">
        <v>60</v>
      </c>
      <c r="Y65" s="48">
        <f t="shared" si="18"/>
        <v>2054.8204141800002</v>
      </c>
      <c r="Z65" s="49">
        <v>159500</v>
      </c>
      <c r="AA65" s="43">
        <v>155500</v>
      </c>
      <c r="AB65" s="43">
        <v>0</v>
      </c>
      <c r="AC65" s="43">
        <v>0</v>
      </c>
      <c r="AD65" s="43">
        <v>0</v>
      </c>
      <c r="AE65" s="44">
        <v>4000</v>
      </c>
      <c r="AF65" s="47">
        <v>800</v>
      </c>
      <c r="AG65" s="50">
        <v>5270</v>
      </c>
      <c r="AH65" s="49">
        <v>4010</v>
      </c>
      <c r="AI65" s="44">
        <v>1560</v>
      </c>
      <c r="AJ65" s="51" t="s">
        <v>154</v>
      </c>
    </row>
    <row r="66" spans="1:36" s="51" customFormat="1" ht="29.25" customHeight="1" x14ac:dyDescent="0.3">
      <c r="A66" s="106">
        <v>56</v>
      </c>
      <c r="B66" s="42" t="s">
        <v>155</v>
      </c>
      <c r="C66" s="102">
        <f t="shared" si="15"/>
        <v>405249.78389675997</v>
      </c>
      <c r="D66" s="103">
        <f t="shared" si="16"/>
        <v>167949.78389675997</v>
      </c>
      <c r="E66" s="104">
        <f t="shared" si="17"/>
        <v>88630</v>
      </c>
      <c r="F66" s="43">
        <v>58160</v>
      </c>
      <c r="G66" s="43">
        <v>14170</v>
      </c>
      <c r="H66" s="43">
        <v>15200</v>
      </c>
      <c r="I66" s="44">
        <v>1100</v>
      </c>
      <c r="J66" s="105">
        <v>36920</v>
      </c>
      <c r="K66" s="107">
        <v>6120</v>
      </c>
      <c r="L66" s="108">
        <f t="shared" si="9"/>
        <v>30800</v>
      </c>
      <c r="M66" s="45">
        <v>0</v>
      </c>
      <c r="N66" s="46">
        <v>0</v>
      </c>
      <c r="O66" s="45">
        <v>1700</v>
      </c>
      <c r="P66" s="47">
        <v>19330</v>
      </c>
      <c r="Q66" s="43">
        <v>0</v>
      </c>
      <c r="R66" s="43">
        <v>30</v>
      </c>
      <c r="S66" s="48">
        <f t="shared" si="10"/>
        <v>19300</v>
      </c>
      <c r="T66" s="49">
        <v>10230</v>
      </c>
      <c r="U66" s="44">
        <v>173.37</v>
      </c>
      <c r="V66" s="47">
        <v>5389.7838967600001</v>
      </c>
      <c r="W66" s="43">
        <v>0</v>
      </c>
      <c r="X66" s="43">
        <v>0</v>
      </c>
      <c r="Y66" s="48">
        <f t="shared" si="18"/>
        <v>5389.7838967600001</v>
      </c>
      <c r="Z66" s="49">
        <v>237300</v>
      </c>
      <c r="AA66" s="43">
        <v>233300</v>
      </c>
      <c r="AB66" s="43">
        <v>0</v>
      </c>
      <c r="AC66" s="43">
        <v>0</v>
      </c>
      <c r="AD66" s="43">
        <v>0</v>
      </c>
      <c r="AE66" s="44">
        <v>4000</v>
      </c>
      <c r="AF66" s="47">
        <v>0</v>
      </c>
      <c r="AG66" s="50">
        <v>3100</v>
      </c>
      <c r="AH66" s="49">
        <v>2650</v>
      </c>
      <c r="AI66" s="44">
        <v>624</v>
      </c>
      <c r="AJ66" s="51" t="s">
        <v>156</v>
      </c>
    </row>
    <row r="67" spans="1:36" s="51" customFormat="1" ht="29.25" customHeight="1" x14ac:dyDescent="0.3">
      <c r="A67" s="106">
        <v>57</v>
      </c>
      <c r="B67" s="42" t="s">
        <v>157</v>
      </c>
      <c r="C67" s="102">
        <f t="shared" si="15"/>
        <v>20627</v>
      </c>
      <c r="D67" s="103">
        <f t="shared" si="16"/>
        <v>18127</v>
      </c>
      <c r="E67" s="104">
        <f t="shared" si="17"/>
        <v>2390</v>
      </c>
      <c r="F67" s="43">
        <v>1860</v>
      </c>
      <c r="G67" s="43">
        <v>0</v>
      </c>
      <c r="H67" s="43">
        <v>530</v>
      </c>
      <c r="I67" s="44">
        <v>0</v>
      </c>
      <c r="J67" s="105">
        <v>1360</v>
      </c>
      <c r="K67" s="107">
        <v>30</v>
      </c>
      <c r="L67" s="108">
        <f t="shared" si="9"/>
        <v>1330</v>
      </c>
      <c r="M67" s="45">
        <v>0</v>
      </c>
      <c r="N67" s="46">
        <v>0</v>
      </c>
      <c r="O67" s="45">
        <v>57</v>
      </c>
      <c r="P67" s="47">
        <v>450</v>
      </c>
      <c r="Q67" s="43">
        <v>0</v>
      </c>
      <c r="R67" s="43">
        <v>0</v>
      </c>
      <c r="S67" s="48">
        <f t="shared" si="10"/>
        <v>450</v>
      </c>
      <c r="T67" s="49">
        <v>630</v>
      </c>
      <c r="U67" s="44">
        <v>12.32</v>
      </c>
      <c r="V67" s="47">
        <v>0</v>
      </c>
      <c r="W67" s="43">
        <v>0</v>
      </c>
      <c r="X67" s="43">
        <v>0</v>
      </c>
      <c r="Y67" s="48">
        <f t="shared" si="18"/>
        <v>0</v>
      </c>
      <c r="Z67" s="49">
        <v>2500</v>
      </c>
      <c r="AA67" s="43">
        <v>0</v>
      </c>
      <c r="AB67" s="43">
        <v>0</v>
      </c>
      <c r="AC67" s="43">
        <v>0</v>
      </c>
      <c r="AD67" s="43">
        <v>0</v>
      </c>
      <c r="AE67" s="44">
        <v>2500</v>
      </c>
      <c r="AF67" s="47">
        <v>0</v>
      </c>
      <c r="AG67" s="50">
        <v>13000</v>
      </c>
      <c r="AH67" s="49">
        <v>240</v>
      </c>
      <c r="AI67" s="44">
        <v>240</v>
      </c>
      <c r="AJ67" s="51" t="s">
        <v>158</v>
      </c>
    </row>
    <row r="68" spans="1:36" s="51" customFormat="1" ht="29.25" customHeight="1" x14ac:dyDescent="0.3">
      <c r="A68" s="106">
        <v>58</v>
      </c>
      <c r="B68" s="42" t="s">
        <v>159</v>
      </c>
      <c r="C68" s="102">
        <f t="shared" si="15"/>
        <v>663783.04141412</v>
      </c>
      <c r="D68" s="103">
        <f t="shared" si="16"/>
        <v>148683.04141412</v>
      </c>
      <c r="E68" s="104">
        <f t="shared" si="17"/>
        <v>64670</v>
      </c>
      <c r="F68" s="43">
        <v>50740</v>
      </c>
      <c r="G68" s="43">
        <v>10</v>
      </c>
      <c r="H68" s="43">
        <v>13570</v>
      </c>
      <c r="I68" s="44">
        <v>350</v>
      </c>
      <c r="J68" s="105">
        <v>31500</v>
      </c>
      <c r="K68" s="107">
        <v>3360</v>
      </c>
      <c r="L68" s="108">
        <f t="shared" si="9"/>
        <v>28140</v>
      </c>
      <c r="M68" s="45">
        <v>0</v>
      </c>
      <c r="N68" s="46">
        <v>0</v>
      </c>
      <c r="O68" s="45">
        <v>933</v>
      </c>
      <c r="P68" s="47">
        <v>16840</v>
      </c>
      <c r="Q68" s="43">
        <v>0</v>
      </c>
      <c r="R68" s="43">
        <v>170</v>
      </c>
      <c r="S68" s="48">
        <f t="shared" si="10"/>
        <v>16670</v>
      </c>
      <c r="T68" s="49">
        <v>6000</v>
      </c>
      <c r="U68" s="44">
        <v>222.79756</v>
      </c>
      <c r="V68" s="47">
        <v>8152.0414141199999</v>
      </c>
      <c r="W68" s="43">
        <v>5000</v>
      </c>
      <c r="X68" s="43">
        <v>0</v>
      </c>
      <c r="Y68" s="48">
        <f t="shared" si="18"/>
        <v>3152.0414141199999</v>
      </c>
      <c r="Z68" s="49">
        <v>515100</v>
      </c>
      <c r="AA68" s="43">
        <v>36200</v>
      </c>
      <c r="AB68" s="43">
        <v>475900</v>
      </c>
      <c r="AC68" s="43">
        <v>0</v>
      </c>
      <c r="AD68" s="43">
        <v>0</v>
      </c>
      <c r="AE68" s="44">
        <v>3000</v>
      </c>
      <c r="AF68" s="47">
        <v>358</v>
      </c>
      <c r="AG68" s="50">
        <v>13650</v>
      </c>
      <c r="AH68" s="49">
        <v>6580</v>
      </c>
      <c r="AI68" s="44">
        <v>624</v>
      </c>
      <c r="AJ68" s="51" t="s">
        <v>160</v>
      </c>
    </row>
    <row r="69" spans="1:36" s="51" customFormat="1" ht="29.25" customHeight="1" x14ac:dyDescent="0.3">
      <c r="A69" s="106">
        <v>59</v>
      </c>
      <c r="B69" s="42" t="s">
        <v>161</v>
      </c>
      <c r="C69" s="102">
        <f t="shared" si="15"/>
        <v>230769.63524951</v>
      </c>
      <c r="D69" s="103">
        <f t="shared" si="16"/>
        <v>179269.63524951</v>
      </c>
      <c r="E69" s="104">
        <f t="shared" si="17"/>
        <v>31010</v>
      </c>
      <c r="F69" s="43">
        <v>27770</v>
      </c>
      <c r="G69" s="43">
        <v>0</v>
      </c>
      <c r="H69" s="43">
        <v>3240</v>
      </c>
      <c r="I69" s="44">
        <v>0</v>
      </c>
      <c r="J69" s="105">
        <v>16330</v>
      </c>
      <c r="K69" s="107">
        <v>2190</v>
      </c>
      <c r="L69" s="108">
        <f t="shared" si="9"/>
        <v>14140</v>
      </c>
      <c r="M69" s="45">
        <v>0</v>
      </c>
      <c r="N69" s="46">
        <v>0</v>
      </c>
      <c r="O69" s="45">
        <v>920</v>
      </c>
      <c r="P69" s="47">
        <v>11530</v>
      </c>
      <c r="Q69" s="43">
        <v>0</v>
      </c>
      <c r="R69" s="43">
        <v>0</v>
      </c>
      <c r="S69" s="48">
        <f t="shared" si="10"/>
        <v>11530</v>
      </c>
      <c r="T69" s="49">
        <v>6870</v>
      </c>
      <c r="U69" s="44">
        <v>261.10517249999998</v>
      </c>
      <c r="V69" s="47">
        <v>100609.63524951</v>
      </c>
      <c r="W69" s="43">
        <v>100000</v>
      </c>
      <c r="X69" s="43">
        <v>0</v>
      </c>
      <c r="Y69" s="48">
        <f t="shared" si="18"/>
        <v>609.63524950999999</v>
      </c>
      <c r="Z69" s="49">
        <v>51500</v>
      </c>
      <c r="AA69" s="43">
        <v>49000</v>
      </c>
      <c r="AB69" s="43">
        <v>0</v>
      </c>
      <c r="AC69" s="43">
        <v>0</v>
      </c>
      <c r="AD69" s="43">
        <v>0</v>
      </c>
      <c r="AE69" s="44">
        <v>2500</v>
      </c>
      <c r="AF69" s="47">
        <v>0</v>
      </c>
      <c r="AG69" s="50">
        <v>7000</v>
      </c>
      <c r="AH69" s="49">
        <v>5000</v>
      </c>
      <c r="AI69" s="44">
        <v>312</v>
      </c>
      <c r="AJ69" s="51" t="s">
        <v>162</v>
      </c>
    </row>
    <row r="70" spans="1:36" s="51" customFormat="1" ht="29.25" customHeight="1" x14ac:dyDescent="0.3">
      <c r="A70" s="106">
        <v>60</v>
      </c>
      <c r="B70" s="42" t="s">
        <v>163</v>
      </c>
      <c r="C70" s="102">
        <f t="shared" si="15"/>
        <v>96003.893408379998</v>
      </c>
      <c r="D70" s="103">
        <f t="shared" si="16"/>
        <v>88903.893408379998</v>
      </c>
      <c r="E70" s="104">
        <f t="shared" si="17"/>
        <v>30980</v>
      </c>
      <c r="F70" s="43">
        <v>27270</v>
      </c>
      <c r="G70" s="43">
        <v>30</v>
      </c>
      <c r="H70" s="43">
        <v>3680</v>
      </c>
      <c r="I70" s="44">
        <v>0</v>
      </c>
      <c r="J70" s="105">
        <v>23730</v>
      </c>
      <c r="K70" s="107">
        <v>690</v>
      </c>
      <c r="L70" s="108">
        <f t="shared" si="9"/>
        <v>23040</v>
      </c>
      <c r="M70" s="45">
        <v>0</v>
      </c>
      <c r="N70" s="46">
        <v>0</v>
      </c>
      <c r="O70" s="45">
        <v>570</v>
      </c>
      <c r="P70" s="47">
        <v>5450</v>
      </c>
      <c r="Q70" s="43">
        <v>0</v>
      </c>
      <c r="R70" s="43">
        <v>0</v>
      </c>
      <c r="S70" s="48">
        <f t="shared" si="10"/>
        <v>5450</v>
      </c>
      <c r="T70" s="49">
        <v>7400</v>
      </c>
      <c r="U70" s="44">
        <v>163.9975</v>
      </c>
      <c r="V70" s="47">
        <v>116.89340838</v>
      </c>
      <c r="W70" s="43">
        <v>0</v>
      </c>
      <c r="X70" s="43">
        <v>0</v>
      </c>
      <c r="Y70" s="48">
        <f t="shared" si="18"/>
        <v>116.89340838</v>
      </c>
      <c r="Z70" s="49">
        <v>7100</v>
      </c>
      <c r="AA70" s="43">
        <v>4600</v>
      </c>
      <c r="AB70" s="43">
        <v>0</v>
      </c>
      <c r="AC70" s="43">
        <v>0</v>
      </c>
      <c r="AD70" s="43">
        <v>0</v>
      </c>
      <c r="AE70" s="44">
        <v>2500</v>
      </c>
      <c r="AF70" s="47">
        <v>357</v>
      </c>
      <c r="AG70" s="50">
        <v>15400</v>
      </c>
      <c r="AH70" s="49">
        <v>4900</v>
      </c>
      <c r="AI70" s="44">
        <v>180</v>
      </c>
      <c r="AJ70" s="51" t="s">
        <v>164</v>
      </c>
    </row>
    <row r="71" spans="1:36" s="51" customFormat="1" ht="29.25" customHeight="1" x14ac:dyDescent="0.3">
      <c r="A71" s="106">
        <v>61</v>
      </c>
      <c r="B71" s="42" t="s">
        <v>165</v>
      </c>
      <c r="C71" s="102">
        <f t="shared" si="15"/>
        <v>74704.987089579998</v>
      </c>
      <c r="D71" s="103">
        <f t="shared" si="16"/>
        <v>59704.987089579998</v>
      </c>
      <c r="E71" s="104">
        <f t="shared" si="17"/>
        <v>12560</v>
      </c>
      <c r="F71" s="43">
        <v>11280</v>
      </c>
      <c r="G71" s="43">
        <v>20</v>
      </c>
      <c r="H71" s="43">
        <v>1260</v>
      </c>
      <c r="I71" s="44">
        <v>0</v>
      </c>
      <c r="J71" s="105">
        <v>17280</v>
      </c>
      <c r="K71" s="107">
        <v>4170</v>
      </c>
      <c r="L71" s="108">
        <f t="shared" si="9"/>
        <v>13110</v>
      </c>
      <c r="M71" s="45">
        <v>0</v>
      </c>
      <c r="N71" s="46">
        <v>0</v>
      </c>
      <c r="O71" s="45">
        <v>460</v>
      </c>
      <c r="P71" s="47">
        <v>5800</v>
      </c>
      <c r="Q71" s="43">
        <v>0</v>
      </c>
      <c r="R71" s="43">
        <v>0</v>
      </c>
      <c r="S71" s="48">
        <f t="shared" si="10"/>
        <v>5800</v>
      </c>
      <c r="T71" s="49">
        <v>4230</v>
      </c>
      <c r="U71" s="44">
        <v>92.971500000000006</v>
      </c>
      <c r="V71" s="47">
        <v>1574.98708958</v>
      </c>
      <c r="W71" s="43">
        <v>0</v>
      </c>
      <c r="X71" s="43">
        <v>0</v>
      </c>
      <c r="Y71" s="48">
        <f t="shared" si="18"/>
        <v>1574.98708958</v>
      </c>
      <c r="Z71" s="49">
        <v>15000</v>
      </c>
      <c r="AA71" s="43">
        <v>0</v>
      </c>
      <c r="AB71" s="43">
        <v>0</v>
      </c>
      <c r="AC71" s="43">
        <v>0</v>
      </c>
      <c r="AD71" s="43">
        <v>0</v>
      </c>
      <c r="AE71" s="44">
        <v>15000</v>
      </c>
      <c r="AF71" s="47">
        <v>0</v>
      </c>
      <c r="AG71" s="50">
        <v>15000</v>
      </c>
      <c r="AH71" s="49">
        <v>2800</v>
      </c>
      <c r="AI71" s="44">
        <v>312</v>
      </c>
      <c r="AJ71" s="51" t="s">
        <v>166</v>
      </c>
    </row>
    <row r="72" spans="1:36" s="51" customFormat="1" ht="29.25" customHeight="1" x14ac:dyDescent="0.3">
      <c r="A72" s="106">
        <v>62</v>
      </c>
      <c r="B72" s="42" t="s">
        <v>167</v>
      </c>
      <c r="C72" s="102">
        <f t="shared" si="15"/>
        <v>327365.47267186001</v>
      </c>
      <c r="D72" s="103">
        <f t="shared" si="16"/>
        <v>204865.47267186001</v>
      </c>
      <c r="E72" s="104">
        <f t="shared" si="17"/>
        <v>157380</v>
      </c>
      <c r="F72" s="43">
        <v>129520</v>
      </c>
      <c r="G72" s="43">
        <v>10</v>
      </c>
      <c r="H72" s="43">
        <v>27840</v>
      </c>
      <c r="I72" s="44">
        <v>10</v>
      </c>
      <c r="J72" s="105">
        <v>21220</v>
      </c>
      <c r="K72" s="107">
        <v>3040</v>
      </c>
      <c r="L72" s="108">
        <f t="shared" si="9"/>
        <v>18180</v>
      </c>
      <c r="M72" s="45">
        <v>0</v>
      </c>
      <c r="N72" s="46">
        <v>0</v>
      </c>
      <c r="O72" s="45">
        <v>700</v>
      </c>
      <c r="P72" s="47">
        <v>12140</v>
      </c>
      <c r="Q72" s="43">
        <v>0</v>
      </c>
      <c r="R72" s="43">
        <v>0</v>
      </c>
      <c r="S72" s="48">
        <f t="shared" si="10"/>
        <v>12140</v>
      </c>
      <c r="T72" s="49">
        <v>6890</v>
      </c>
      <c r="U72" s="44">
        <v>24.6</v>
      </c>
      <c r="V72" s="47">
        <v>1347.47267186</v>
      </c>
      <c r="W72" s="43">
        <v>0</v>
      </c>
      <c r="X72" s="43">
        <v>320</v>
      </c>
      <c r="Y72" s="48">
        <f t="shared" si="18"/>
        <v>1027.47267186</v>
      </c>
      <c r="Z72" s="49">
        <v>122500</v>
      </c>
      <c r="AA72" s="43">
        <v>0</v>
      </c>
      <c r="AB72" s="43">
        <v>120000</v>
      </c>
      <c r="AC72" s="43">
        <v>0</v>
      </c>
      <c r="AD72" s="43">
        <v>0</v>
      </c>
      <c r="AE72" s="44">
        <v>2500</v>
      </c>
      <c r="AF72" s="47">
        <v>0</v>
      </c>
      <c r="AG72" s="50">
        <v>2088</v>
      </c>
      <c r="AH72" s="49">
        <v>3100</v>
      </c>
      <c r="AI72" s="44">
        <v>180</v>
      </c>
      <c r="AJ72" s="51" t="s">
        <v>168</v>
      </c>
    </row>
    <row r="73" spans="1:36" s="51" customFormat="1" ht="29.25" customHeight="1" x14ac:dyDescent="0.3">
      <c r="A73" s="106">
        <v>63</v>
      </c>
      <c r="B73" s="42" t="s">
        <v>169</v>
      </c>
      <c r="C73" s="102">
        <f t="shared" si="15"/>
        <v>36948.317522099998</v>
      </c>
      <c r="D73" s="103">
        <f t="shared" si="16"/>
        <v>31948.317522099998</v>
      </c>
      <c r="E73" s="104">
        <f t="shared" si="17"/>
        <v>6850</v>
      </c>
      <c r="F73" s="43">
        <v>6050</v>
      </c>
      <c r="G73" s="43">
        <v>0</v>
      </c>
      <c r="H73" s="43">
        <v>800</v>
      </c>
      <c r="I73" s="44">
        <v>0</v>
      </c>
      <c r="J73" s="105">
        <v>7520</v>
      </c>
      <c r="K73" s="107">
        <v>1170</v>
      </c>
      <c r="L73" s="108">
        <f t="shared" si="9"/>
        <v>6350</v>
      </c>
      <c r="M73" s="45">
        <v>0</v>
      </c>
      <c r="N73" s="46">
        <v>0</v>
      </c>
      <c r="O73" s="45">
        <v>270</v>
      </c>
      <c r="P73" s="47">
        <v>5290</v>
      </c>
      <c r="Q73" s="43">
        <v>0</v>
      </c>
      <c r="R73" s="43">
        <v>0</v>
      </c>
      <c r="S73" s="48">
        <f t="shared" si="10"/>
        <v>5290</v>
      </c>
      <c r="T73" s="49">
        <v>2930</v>
      </c>
      <c r="U73" s="44">
        <v>56.887500000000003</v>
      </c>
      <c r="V73" s="47">
        <v>246.31752209999999</v>
      </c>
      <c r="W73" s="43">
        <v>0</v>
      </c>
      <c r="X73" s="43">
        <v>0</v>
      </c>
      <c r="Y73" s="48">
        <f t="shared" si="18"/>
        <v>246.31752209999999</v>
      </c>
      <c r="Z73" s="49">
        <v>5000</v>
      </c>
      <c r="AA73" s="43">
        <v>0</v>
      </c>
      <c r="AB73" s="43">
        <v>0</v>
      </c>
      <c r="AC73" s="43">
        <v>0</v>
      </c>
      <c r="AD73" s="43">
        <v>0</v>
      </c>
      <c r="AE73" s="44">
        <v>5000</v>
      </c>
      <c r="AF73" s="47">
        <v>0</v>
      </c>
      <c r="AG73" s="50">
        <v>7042</v>
      </c>
      <c r="AH73" s="49">
        <v>1800</v>
      </c>
      <c r="AI73" s="44">
        <v>312</v>
      </c>
      <c r="AJ73" s="51" t="s">
        <v>170</v>
      </c>
    </row>
    <row r="74" spans="1:36" s="51" customFormat="1" ht="29.25" customHeight="1" x14ac:dyDescent="0.3">
      <c r="A74" s="106">
        <v>64</v>
      </c>
      <c r="B74" s="42" t="s">
        <v>171</v>
      </c>
      <c r="C74" s="102">
        <f t="shared" si="15"/>
        <v>99050.071038580005</v>
      </c>
      <c r="D74" s="103">
        <f t="shared" si="16"/>
        <v>84050.071038580005</v>
      </c>
      <c r="E74" s="104">
        <f t="shared" si="17"/>
        <v>42490</v>
      </c>
      <c r="F74" s="43">
        <v>31220</v>
      </c>
      <c r="G74" s="43">
        <v>340</v>
      </c>
      <c r="H74" s="43">
        <v>10880</v>
      </c>
      <c r="I74" s="44">
        <v>50</v>
      </c>
      <c r="J74" s="105">
        <v>14380</v>
      </c>
      <c r="K74" s="107">
        <v>2610</v>
      </c>
      <c r="L74" s="108">
        <f t="shared" si="9"/>
        <v>11770</v>
      </c>
      <c r="M74" s="45">
        <v>0</v>
      </c>
      <c r="N74" s="46">
        <v>0</v>
      </c>
      <c r="O74" s="45">
        <v>520</v>
      </c>
      <c r="P74" s="47">
        <v>15650</v>
      </c>
      <c r="Q74" s="43">
        <v>0</v>
      </c>
      <c r="R74" s="43">
        <v>4370</v>
      </c>
      <c r="S74" s="48">
        <f t="shared" si="10"/>
        <v>11280</v>
      </c>
      <c r="T74" s="49">
        <v>4950</v>
      </c>
      <c r="U74" s="44">
        <v>120.87875</v>
      </c>
      <c r="V74" s="47">
        <v>1300.0710385799998</v>
      </c>
      <c r="W74" s="43">
        <v>0</v>
      </c>
      <c r="X74" s="43">
        <v>0</v>
      </c>
      <c r="Y74" s="48">
        <f t="shared" si="18"/>
        <v>1300.0710385799998</v>
      </c>
      <c r="Z74" s="49">
        <v>15000</v>
      </c>
      <c r="AA74" s="43">
        <v>0</v>
      </c>
      <c r="AB74" s="43">
        <v>0</v>
      </c>
      <c r="AC74" s="43">
        <v>0</v>
      </c>
      <c r="AD74" s="43">
        <v>0</v>
      </c>
      <c r="AE74" s="44">
        <v>15000</v>
      </c>
      <c r="AF74" s="47">
        <v>0</v>
      </c>
      <c r="AG74" s="50">
        <v>2000</v>
      </c>
      <c r="AH74" s="49">
        <v>2760</v>
      </c>
      <c r="AI74" s="44">
        <v>180</v>
      </c>
      <c r="AJ74" s="51" t="s">
        <v>172</v>
      </c>
    </row>
    <row r="75" spans="1:36" s="51" customFormat="1" ht="29.25" customHeight="1" x14ac:dyDescent="0.3">
      <c r="A75" s="106">
        <v>65</v>
      </c>
      <c r="B75" s="42" t="s">
        <v>173</v>
      </c>
      <c r="C75" s="102">
        <f t="shared" si="15"/>
        <v>194065.03302526</v>
      </c>
      <c r="D75" s="103">
        <f t="shared" si="16"/>
        <v>124765.03302526</v>
      </c>
      <c r="E75" s="104">
        <f t="shared" si="17"/>
        <v>39060</v>
      </c>
      <c r="F75" s="43">
        <v>29740</v>
      </c>
      <c r="G75" s="43">
        <v>0</v>
      </c>
      <c r="H75" s="43">
        <v>9320</v>
      </c>
      <c r="I75" s="44">
        <v>0</v>
      </c>
      <c r="J75" s="105">
        <v>21250</v>
      </c>
      <c r="K75" s="107">
        <v>4730</v>
      </c>
      <c r="L75" s="108">
        <f t="shared" ref="L75:L136" si="19">J75-K75</f>
        <v>16520</v>
      </c>
      <c r="M75" s="45">
        <v>0</v>
      </c>
      <c r="N75" s="46">
        <v>0</v>
      </c>
      <c r="O75" s="45">
        <v>1400</v>
      </c>
      <c r="P75" s="47">
        <v>8300</v>
      </c>
      <c r="Q75" s="43">
        <v>0</v>
      </c>
      <c r="R75" s="43">
        <v>0</v>
      </c>
      <c r="S75" s="48">
        <f t="shared" ref="S75:S136" si="20">P75-Q75-R75</f>
        <v>8300</v>
      </c>
      <c r="T75" s="49">
        <v>11250</v>
      </c>
      <c r="U75" s="44">
        <v>31.797499999999999</v>
      </c>
      <c r="V75" s="47">
        <v>2105.0330252599997</v>
      </c>
      <c r="W75" s="43">
        <v>0</v>
      </c>
      <c r="X75" s="43">
        <v>0</v>
      </c>
      <c r="Y75" s="48">
        <f t="shared" si="18"/>
        <v>2105.0330252599997</v>
      </c>
      <c r="Z75" s="49">
        <v>69300</v>
      </c>
      <c r="AA75" s="43">
        <v>67300</v>
      </c>
      <c r="AB75" s="43">
        <v>0</v>
      </c>
      <c r="AC75" s="43">
        <v>0</v>
      </c>
      <c r="AD75" s="43">
        <v>0</v>
      </c>
      <c r="AE75" s="44">
        <v>2000</v>
      </c>
      <c r="AF75" s="47">
        <v>0</v>
      </c>
      <c r="AG75" s="50">
        <v>8400</v>
      </c>
      <c r="AH75" s="49">
        <v>33000</v>
      </c>
      <c r="AI75" s="44">
        <v>31200</v>
      </c>
      <c r="AJ75" s="51" t="s">
        <v>174</v>
      </c>
    </row>
    <row r="76" spans="1:36" s="51" customFormat="1" ht="29.25" customHeight="1" x14ac:dyDescent="0.3">
      <c r="A76" s="106">
        <v>66</v>
      </c>
      <c r="B76" s="42" t="s">
        <v>175</v>
      </c>
      <c r="C76" s="102">
        <f t="shared" si="15"/>
        <v>135084.45250700999</v>
      </c>
      <c r="D76" s="103">
        <f t="shared" si="16"/>
        <v>78784.452507009992</v>
      </c>
      <c r="E76" s="104">
        <f t="shared" si="17"/>
        <v>32720</v>
      </c>
      <c r="F76" s="43">
        <v>24840</v>
      </c>
      <c r="G76" s="43">
        <v>0</v>
      </c>
      <c r="H76" s="43">
        <v>7880</v>
      </c>
      <c r="I76" s="44">
        <v>0</v>
      </c>
      <c r="J76" s="105">
        <v>16800</v>
      </c>
      <c r="K76" s="107">
        <v>3160</v>
      </c>
      <c r="L76" s="108">
        <f t="shared" si="19"/>
        <v>13640</v>
      </c>
      <c r="M76" s="45">
        <v>0</v>
      </c>
      <c r="N76" s="46">
        <v>0</v>
      </c>
      <c r="O76" s="45">
        <v>1000</v>
      </c>
      <c r="P76" s="47">
        <v>6200</v>
      </c>
      <c r="Q76" s="43">
        <v>0</v>
      </c>
      <c r="R76" s="43">
        <v>0</v>
      </c>
      <c r="S76" s="48">
        <f t="shared" si="20"/>
        <v>6200</v>
      </c>
      <c r="T76" s="49">
        <v>2660</v>
      </c>
      <c r="U76" s="44">
        <v>128.74250000000001</v>
      </c>
      <c r="V76" s="47">
        <v>1504.4525070099999</v>
      </c>
      <c r="W76" s="43">
        <v>0</v>
      </c>
      <c r="X76" s="43">
        <v>0</v>
      </c>
      <c r="Y76" s="48">
        <f t="shared" si="18"/>
        <v>1504.4525070099999</v>
      </c>
      <c r="Z76" s="49">
        <v>56300</v>
      </c>
      <c r="AA76" s="43">
        <v>54300</v>
      </c>
      <c r="AB76" s="43">
        <v>0</v>
      </c>
      <c r="AC76" s="43">
        <v>0</v>
      </c>
      <c r="AD76" s="43">
        <v>0</v>
      </c>
      <c r="AE76" s="44">
        <v>2000</v>
      </c>
      <c r="AF76" s="47">
        <v>0</v>
      </c>
      <c r="AG76" s="50">
        <v>8400</v>
      </c>
      <c r="AH76" s="49">
        <v>9500</v>
      </c>
      <c r="AI76" s="44">
        <v>7800</v>
      </c>
      <c r="AJ76" s="51" t="s">
        <v>176</v>
      </c>
    </row>
    <row r="77" spans="1:36" s="51" customFormat="1" ht="29.25" customHeight="1" x14ac:dyDescent="0.3">
      <c r="A77" s="106">
        <v>67</v>
      </c>
      <c r="B77" s="42" t="s">
        <v>177</v>
      </c>
      <c r="C77" s="102">
        <f t="shared" si="15"/>
        <v>138144.20408226</v>
      </c>
      <c r="D77" s="103">
        <f t="shared" si="16"/>
        <v>109144.20408226</v>
      </c>
      <c r="E77" s="104">
        <f t="shared" si="17"/>
        <v>59410</v>
      </c>
      <c r="F77" s="43">
        <v>42850</v>
      </c>
      <c r="G77" s="43">
        <v>0</v>
      </c>
      <c r="H77" s="43">
        <v>16560</v>
      </c>
      <c r="I77" s="44">
        <v>0</v>
      </c>
      <c r="J77" s="105">
        <v>22650</v>
      </c>
      <c r="K77" s="107">
        <v>1600</v>
      </c>
      <c r="L77" s="108">
        <f t="shared" si="19"/>
        <v>21050</v>
      </c>
      <c r="M77" s="45">
        <v>0</v>
      </c>
      <c r="N77" s="46">
        <v>0</v>
      </c>
      <c r="O77" s="45">
        <v>680</v>
      </c>
      <c r="P77" s="47">
        <v>8000</v>
      </c>
      <c r="Q77" s="43">
        <v>0</v>
      </c>
      <c r="R77" s="43">
        <v>0</v>
      </c>
      <c r="S77" s="48">
        <f t="shared" si="20"/>
        <v>8000</v>
      </c>
      <c r="T77" s="49">
        <v>5320</v>
      </c>
      <c r="U77" s="44">
        <v>125.5475</v>
      </c>
      <c r="V77" s="47">
        <v>1084.20408226</v>
      </c>
      <c r="W77" s="43">
        <v>0</v>
      </c>
      <c r="X77" s="43">
        <v>0</v>
      </c>
      <c r="Y77" s="48">
        <f t="shared" si="18"/>
        <v>1084.20408226</v>
      </c>
      <c r="Z77" s="49">
        <v>29000</v>
      </c>
      <c r="AA77" s="43">
        <v>27000</v>
      </c>
      <c r="AB77" s="43">
        <v>0</v>
      </c>
      <c r="AC77" s="43">
        <v>0</v>
      </c>
      <c r="AD77" s="43">
        <v>0</v>
      </c>
      <c r="AE77" s="44">
        <v>2000</v>
      </c>
      <c r="AF77" s="47">
        <v>0</v>
      </c>
      <c r="AG77" s="50">
        <v>7000</v>
      </c>
      <c r="AH77" s="49">
        <v>5000</v>
      </c>
      <c r="AI77" s="44">
        <v>1560</v>
      </c>
      <c r="AJ77" s="51" t="s">
        <v>178</v>
      </c>
    </row>
    <row r="78" spans="1:36" s="51" customFormat="1" ht="29.25" customHeight="1" x14ac:dyDescent="0.3">
      <c r="A78" s="106">
        <v>68</v>
      </c>
      <c r="B78" s="42" t="s">
        <v>179</v>
      </c>
      <c r="C78" s="102">
        <f t="shared" si="15"/>
        <v>113929.64473095999</v>
      </c>
      <c r="D78" s="103">
        <f t="shared" si="16"/>
        <v>70329.64473095999</v>
      </c>
      <c r="E78" s="104">
        <f t="shared" si="17"/>
        <v>17870</v>
      </c>
      <c r="F78" s="43">
        <v>15790</v>
      </c>
      <c r="G78" s="43">
        <v>0</v>
      </c>
      <c r="H78" s="43">
        <v>2080</v>
      </c>
      <c r="I78" s="44">
        <v>0</v>
      </c>
      <c r="J78" s="105">
        <v>22960</v>
      </c>
      <c r="K78" s="107">
        <v>2590</v>
      </c>
      <c r="L78" s="108">
        <f t="shared" si="19"/>
        <v>20370</v>
      </c>
      <c r="M78" s="45">
        <v>0</v>
      </c>
      <c r="N78" s="46">
        <v>0</v>
      </c>
      <c r="O78" s="45">
        <v>670</v>
      </c>
      <c r="P78" s="47">
        <v>7000</v>
      </c>
      <c r="Q78" s="43">
        <v>0</v>
      </c>
      <c r="R78" s="43">
        <v>0</v>
      </c>
      <c r="S78" s="48">
        <f t="shared" si="20"/>
        <v>7000</v>
      </c>
      <c r="T78" s="49">
        <v>3990</v>
      </c>
      <c r="U78" s="44">
        <v>314.44691</v>
      </c>
      <c r="V78" s="47">
        <v>139.64473096</v>
      </c>
      <c r="W78" s="43">
        <v>0</v>
      </c>
      <c r="X78" s="43">
        <v>0</v>
      </c>
      <c r="Y78" s="48">
        <f t="shared" si="18"/>
        <v>139.64473096</v>
      </c>
      <c r="Z78" s="49">
        <v>43600</v>
      </c>
      <c r="AA78" s="43">
        <v>41600</v>
      </c>
      <c r="AB78" s="43">
        <v>0</v>
      </c>
      <c r="AC78" s="43">
        <v>0</v>
      </c>
      <c r="AD78" s="43">
        <v>0</v>
      </c>
      <c r="AE78" s="44">
        <v>2000</v>
      </c>
      <c r="AF78" s="47">
        <v>0</v>
      </c>
      <c r="AG78" s="50">
        <v>7000</v>
      </c>
      <c r="AH78" s="49">
        <v>10700</v>
      </c>
      <c r="AI78" s="44">
        <v>1092</v>
      </c>
      <c r="AJ78" s="51" t="s">
        <v>180</v>
      </c>
    </row>
    <row r="79" spans="1:36" s="51" customFormat="1" ht="29.25" customHeight="1" x14ac:dyDescent="0.3">
      <c r="A79" s="106">
        <v>69</v>
      </c>
      <c r="B79" s="42" t="s">
        <v>181</v>
      </c>
      <c r="C79" s="102">
        <f t="shared" si="15"/>
        <v>1837460.1261205999</v>
      </c>
      <c r="D79" s="103">
        <f t="shared" si="16"/>
        <v>565360.12612059992</v>
      </c>
      <c r="E79" s="104">
        <f t="shared" si="17"/>
        <v>373580</v>
      </c>
      <c r="F79" s="43">
        <v>161330</v>
      </c>
      <c r="G79" s="43">
        <v>40</v>
      </c>
      <c r="H79" s="43">
        <v>212210</v>
      </c>
      <c r="I79" s="44">
        <v>0</v>
      </c>
      <c r="J79" s="105">
        <v>71340</v>
      </c>
      <c r="K79" s="107">
        <v>9910</v>
      </c>
      <c r="L79" s="108">
        <f t="shared" si="19"/>
        <v>61430</v>
      </c>
      <c r="M79" s="45">
        <v>0</v>
      </c>
      <c r="N79" s="46">
        <v>0</v>
      </c>
      <c r="O79" s="45">
        <v>5800</v>
      </c>
      <c r="P79" s="47">
        <v>54040</v>
      </c>
      <c r="Q79" s="43">
        <v>0</v>
      </c>
      <c r="R79" s="43">
        <v>5730</v>
      </c>
      <c r="S79" s="48">
        <f t="shared" si="20"/>
        <v>48310</v>
      </c>
      <c r="T79" s="49">
        <v>22660</v>
      </c>
      <c r="U79" s="44">
        <v>625.27724999999998</v>
      </c>
      <c r="V79" s="47">
        <v>19190.126120599998</v>
      </c>
      <c r="W79" s="43">
        <v>0</v>
      </c>
      <c r="X79" s="43">
        <v>3970</v>
      </c>
      <c r="Y79" s="48">
        <f t="shared" si="18"/>
        <v>15220.126120599998</v>
      </c>
      <c r="Z79" s="49">
        <v>1272100</v>
      </c>
      <c r="AA79" s="43">
        <v>1257100</v>
      </c>
      <c r="AB79" s="43">
        <v>0</v>
      </c>
      <c r="AC79" s="43">
        <v>0</v>
      </c>
      <c r="AD79" s="43">
        <v>0</v>
      </c>
      <c r="AE79" s="44">
        <v>15000</v>
      </c>
      <c r="AF79" s="47">
        <v>0</v>
      </c>
      <c r="AG79" s="50">
        <v>7000</v>
      </c>
      <c r="AH79" s="49">
        <v>11750</v>
      </c>
      <c r="AI79" s="44">
        <v>1560</v>
      </c>
      <c r="AJ79" s="51" t="s">
        <v>182</v>
      </c>
    </row>
    <row r="80" spans="1:36" s="51" customFormat="1" ht="29.25" customHeight="1" x14ac:dyDescent="0.3">
      <c r="A80" s="106">
        <v>70</v>
      </c>
      <c r="B80" s="42" t="s">
        <v>183</v>
      </c>
      <c r="C80" s="102">
        <f t="shared" si="15"/>
        <v>13796312.280096309</v>
      </c>
      <c r="D80" s="103">
        <f t="shared" si="16"/>
        <v>1748912.2800963093</v>
      </c>
      <c r="E80" s="104">
        <f t="shared" si="17"/>
        <v>1026890</v>
      </c>
      <c r="F80" s="43">
        <v>606260</v>
      </c>
      <c r="G80" s="43">
        <v>180</v>
      </c>
      <c r="H80" s="43">
        <v>420450</v>
      </c>
      <c r="I80" s="44">
        <v>0</v>
      </c>
      <c r="J80" s="105">
        <v>116250</v>
      </c>
      <c r="K80" s="107">
        <v>28690</v>
      </c>
      <c r="L80" s="108">
        <f t="shared" si="19"/>
        <v>87560</v>
      </c>
      <c r="M80" s="45">
        <v>72210</v>
      </c>
      <c r="N80" s="46">
        <v>0</v>
      </c>
      <c r="O80" s="45">
        <v>8800</v>
      </c>
      <c r="P80" s="47">
        <v>379120</v>
      </c>
      <c r="Q80" s="43">
        <v>0</v>
      </c>
      <c r="R80" s="43">
        <v>17750</v>
      </c>
      <c r="S80" s="48">
        <f t="shared" si="20"/>
        <v>361370</v>
      </c>
      <c r="T80" s="49">
        <v>33130</v>
      </c>
      <c r="U80" s="44">
        <v>949.70249999999999</v>
      </c>
      <c r="V80" s="47">
        <v>66552.280096310002</v>
      </c>
      <c r="W80" s="43">
        <v>0</v>
      </c>
      <c r="X80" s="43">
        <v>0</v>
      </c>
      <c r="Y80" s="48">
        <f t="shared" si="18"/>
        <v>66552.280096310002</v>
      </c>
      <c r="Z80" s="49">
        <v>12047400</v>
      </c>
      <c r="AA80" s="43">
        <v>861600</v>
      </c>
      <c r="AB80" s="43">
        <v>0</v>
      </c>
      <c r="AC80" s="43">
        <v>11180800</v>
      </c>
      <c r="AD80" s="43">
        <v>0</v>
      </c>
      <c r="AE80" s="44">
        <v>5000</v>
      </c>
      <c r="AF80" s="47">
        <v>0</v>
      </c>
      <c r="AG80" s="50">
        <v>7000</v>
      </c>
      <c r="AH80" s="49">
        <v>38960</v>
      </c>
      <c r="AI80" s="44">
        <v>3120</v>
      </c>
      <c r="AJ80" s="51" t="s">
        <v>184</v>
      </c>
    </row>
    <row r="81" spans="1:36" s="51" customFormat="1" ht="29.25" customHeight="1" x14ac:dyDescent="0.3">
      <c r="A81" s="106">
        <v>71</v>
      </c>
      <c r="B81" s="42" t="s">
        <v>185</v>
      </c>
      <c r="C81" s="102">
        <f t="shared" si="15"/>
        <v>1879538.5997085399</v>
      </c>
      <c r="D81" s="103">
        <f t="shared" si="16"/>
        <v>660738.5997085399</v>
      </c>
      <c r="E81" s="104">
        <f t="shared" si="17"/>
        <v>394770</v>
      </c>
      <c r="F81" s="43">
        <v>259640</v>
      </c>
      <c r="G81" s="43">
        <v>2130</v>
      </c>
      <c r="H81" s="43">
        <v>132720</v>
      </c>
      <c r="I81" s="44">
        <v>280</v>
      </c>
      <c r="J81" s="105">
        <v>83550</v>
      </c>
      <c r="K81" s="107">
        <v>16710</v>
      </c>
      <c r="L81" s="108">
        <f t="shared" si="19"/>
        <v>66840</v>
      </c>
      <c r="M81" s="45">
        <v>0</v>
      </c>
      <c r="N81" s="46">
        <v>0</v>
      </c>
      <c r="O81" s="45">
        <v>3500</v>
      </c>
      <c r="P81" s="47">
        <v>102730</v>
      </c>
      <c r="Q81" s="43">
        <v>0</v>
      </c>
      <c r="R81" s="43">
        <v>39470</v>
      </c>
      <c r="S81" s="48">
        <f t="shared" si="20"/>
        <v>63260</v>
      </c>
      <c r="T81" s="49">
        <v>23350</v>
      </c>
      <c r="U81" s="44">
        <v>422.71720249999998</v>
      </c>
      <c r="V81" s="47">
        <v>31848.599708540001</v>
      </c>
      <c r="W81" s="43">
        <v>0</v>
      </c>
      <c r="X81" s="43">
        <v>420</v>
      </c>
      <c r="Y81" s="48">
        <f t="shared" si="18"/>
        <v>31428.599708540001</v>
      </c>
      <c r="Z81" s="49">
        <v>1218800</v>
      </c>
      <c r="AA81" s="43">
        <v>1213800</v>
      </c>
      <c r="AB81" s="43">
        <v>0</v>
      </c>
      <c r="AC81" s="43">
        <v>0</v>
      </c>
      <c r="AD81" s="43">
        <v>0</v>
      </c>
      <c r="AE81" s="44">
        <v>5000</v>
      </c>
      <c r="AF81" s="47">
        <v>0</v>
      </c>
      <c r="AG81" s="50">
        <v>7000</v>
      </c>
      <c r="AH81" s="49">
        <v>13990</v>
      </c>
      <c r="AI81" s="44">
        <v>2184</v>
      </c>
      <c r="AJ81" s="51" t="s">
        <v>186</v>
      </c>
    </row>
    <row r="82" spans="1:36" s="51" customFormat="1" ht="29.25" customHeight="1" x14ac:dyDescent="0.3">
      <c r="A82" s="106">
        <v>72</v>
      </c>
      <c r="B82" s="42" t="s">
        <v>187</v>
      </c>
      <c r="C82" s="102">
        <f t="shared" si="15"/>
        <v>1760469.02049773</v>
      </c>
      <c r="D82" s="103">
        <f t="shared" si="16"/>
        <v>285669.02049773</v>
      </c>
      <c r="E82" s="104">
        <f t="shared" si="17"/>
        <v>130670</v>
      </c>
      <c r="F82" s="43">
        <v>103310</v>
      </c>
      <c r="G82" s="43">
        <v>160</v>
      </c>
      <c r="H82" s="43">
        <v>27200</v>
      </c>
      <c r="I82" s="44">
        <v>0</v>
      </c>
      <c r="J82" s="105">
        <v>54100</v>
      </c>
      <c r="K82" s="107">
        <v>8150</v>
      </c>
      <c r="L82" s="108">
        <f t="shared" si="19"/>
        <v>45950</v>
      </c>
      <c r="M82" s="45">
        <v>0</v>
      </c>
      <c r="N82" s="46">
        <v>0</v>
      </c>
      <c r="O82" s="45">
        <v>3350</v>
      </c>
      <c r="P82" s="47">
        <v>26870</v>
      </c>
      <c r="Q82" s="43">
        <v>0</v>
      </c>
      <c r="R82" s="43">
        <v>1620</v>
      </c>
      <c r="S82" s="48">
        <f t="shared" si="20"/>
        <v>25250</v>
      </c>
      <c r="T82" s="49">
        <v>17530</v>
      </c>
      <c r="U82" s="44">
        <v>633.91250000000002</v>
      </c>
      <c r="V82" s="47">
        <v>32619.020497730002</v>
      </c>
      <c r="W82" s="43">
        <v>0</v>
      </c>
      <c r="X82" s="43">
        <v>0</v>
      </c>
      <c r="Y82" s="48">
        <f t="shared" si="18"/>
        <v>32619.020497730002</v>
      </c>
      <c r="Z82" s="49">
        <v>1474800</v>
      </c>
      <c r="AA82" s="43">
        <v>469800</v>
      </c>
      <c r="AB82" s="43">
        <v>1000000</v>
      </c>
      <c r="AC82" s="43">
        <v>0</v>
      </c>
      <c r="AD82" s="43">
        <v>0</v>
      </c>
      <c r="AE82" s="44">
        <v>5000</v>
      </c>
      <c r="AF82" s="47">
        <v>0</v>
      </c>
      <c r="AG82" s="50">
        <v>13020</v>
      </c>
      <c r="AH82" s="49">
        <v>7510</v>
      </c>
      <c r="AI82" s="44">
        <v>2184</v>
      </c>
      <c r="AJ82" s="51" t="s">
        <v>188</v>
      </c>
    </row>
    <row r="83" spans="1:36" s="51" customFormat="1" ht="29.25" customHeight="1" x14ac:dyDescent="0.3">
      <c r="A83" s="106">
        <v>73</v>
      </c>
      <c r="B83" s="42" t="s">
        <v>189</v>
      </c>
      <c r="C83" s="102">
        <f t="shared" si="15"/>
        <v>4380473.1359594185</v>
      </c>
      <c r="D83" s="103">
        <f t="shared" si="16"/>
        <v>4332173.1359594185</v>
      </c>
      <c r="E83" s="104">
        <f t="shared" si="17"/>
        <v>119780</v>
      </c>
      <c r="F83" s="43">
        <v>91220</v>
      </c>
      <c r="G83" s="43">
        <v>30</v>
      </c>
      <c r="H83" s="43">
        <v>28530</v>
      </c>
      <c r="I83" s="44">
        <v>0</v>
      </c>
      <c r="J83" s="105">
        <v>39340</v>
      </c>
      <c r="K83" s="107">
        <v>4780</v>
      </c>
      <c r="L83" s="108">
        <f t="shared" si="19"/>
        <v>34560</v>
      </c>
      <c r="M83" s="45">
        <v>0</v>
      </c>
      <c r="N83" s="46">
        <v>0</v>
      </c>
      <c r="O83" s="45">
        <v>5100</v>
      </c>
      <c r="P83" s="47">
        <v>22490</v>
      </c>
      <c r="Q83" s="43">
        <v>0</v>
      </c>
      <c r="R83" s="43">
        <v>690</v>
      </c>
      <c r="S83" s="48">
        <f t="shared" si="20"/>
        <v>21800</v>
      </c>
      <c r="T83" s="49">
        <v>16690</v>
      </c>
      <c r="U83" s="44">
        <v>482.15499999999997</v>
      </c>
      <c r="V83" s="47">
        <v>4117371.1359594185</v>
      </c>
      <c r="W83" s="43">
        <v>4071516.5475495886</v>
      </c>
      <c r="X83" s="43">
        <v>7650</v>
      </c>
      <c r="Y83" s="48">
        <f t="shared" si="18"/>
        <v>38204.588409829885</v>
      </c>
      <c r="Z83" s="49">
        <v>48300</v>
      </c>
      <c r="AA83" s="43">
        <v>32300</v>
      </c>
      <c r="AB83" s="43">
        <v>0</v>
      </c>
      <c r="AC83" s="43">
        <v>0</v>
      </c>
      <c r="AD83" s="43">
        <v>0</v>
      </c>
      <c r="AE83" s="44">
        <v>16000</v>
      </c>
      <c r="AF83" s="47">
        <v>0</v>
      </c>
      <c r="AG83" s="50">
        <v>4092</v>
      </c>
      <c r="AH83" s="49">
        <v>7310</v>
      </c>
      <c r="AI83" s="44">
        <v>1872</v>
      </c>
      <c r="AJ83" s="51" t="s">
        <v>190</v>
      </c>
    </row>
    <row r="84" spans="1:36" s="51" customFormat="1" ht="29.25" customHeight="1" x14ac:dyDescent="0.3">
      <c r="A84" s="106">
        <v>74</v>
      </c>
      <c r="B84" s="42" t="s">
        <v>191</v>
      </c>
      <c r="C84" s="102">
        <f t="shared" si="15"/>
        <v>142944.59016652999</v>
      </c>
      <c r="D84" s="103">
        <f t="shared" si="16"/>
        <v>101444.59016652999</v>
      </c>
      <c r="E84" s="104">
        <f t="shared" si="17"/>
        <v>33950</v>
      </c>
      <c r="F84" s="43">
        <v>29500</v>
      </c>
      <c r="G84" s="43">
        <v>0</v>
      </c>
      <c r="H84" s="43">
        <v>4450</v>
      </c>
      <c r="I84" s="44">
        <v>0</v>
      </c>
      <c r="J84" s="105">
        <v>28020</v>
      </c>
      <c r="K84" s="107">
        <v>4740</v>
      </c>
      <c r="L84" s="108">
        <f t="shared" si="19"/>
        <v>23280</v>
      </c>
      <c r="M84" s="45">
        <v>0</v>
      </c>
      <c r="N84" s="46">
        <v>0</v>
      </c>
      <c r="O84" s="45">
        <v>900</v>
      </c>
      <c r="P84" s="47">
        <v>6200</v>
      </c>
      <c r="Q84" s="43">
        <v>0</v>
      </c>
      <c r="R84" s="43">
        <v>0</v>
      </c>
      <c r="S84" s="48">
        <f t="shared" si="20"/>
        <v>6200</v>
      </c>
      <c r="T84" s="49">
        <v>14320</v>
      </c>
      <c r="U84" s="44">
        <v>128.14506</v>
      </c>
      <c r="V84" s="47">
        <v>1054.5901665299998</v>
      </c>
      <c r="W84" s="43">
        <v>0</v>
      </c>
      <c r="X84" s="43">
        <v>0</v>
      </c>
      <c r="Y84" s="48">
        <f t="shared" si="18"/>
        <v>1054.5901665299998</v>
      </c>
      <c r="Z84" s="49">
        <v>41500</v>
      </c>
      <c r="AA84" s="43">
        <v>39500</v>
      </c>
      <c r="AB84" s="43">
        <v>0</v>
      </c>
      <c r="AC84" s="43">
        <v>0</v>
      </c>
      <c r="AD84" s="43">
        <v>0</v>
      </c>
      <c r="AE84" s="44">
        <v>2000</v>
      </c>
      <c r="AF84" s="47">
        <v>0</v>
      </c>
      <c r="AG84" s="50">
        <v>12000</v>
      </c>
      <c r="AH84" s="49">
        <v>5000</v>
      </c>
      <c r="AI84" s="44">
        <v>1404</v>
      </c>
      <c r="AJ84" s="51" t="s">
        <v>192</v>
      </c>
    </row>
    <row r="85" spans="1:36" s="51" customFormat="1" ht="29.25" customHeight="1" x14ac:dyDescent="0.3">
      <c r="A85" s="106">
        <v>75</v>
      </c>
      <c r="B85" s="42" t="s">
        <v>193</v>
      </c>
      <c r="C85" s="102">
        <f t="shared" si="15"/>
        <v>219961.88760300999</v>
      </c>
      <c r="D85" s="103">
        <f t="shared" si="16"/>
        <v>106261.88760300999</v>
      </c>
      <c r="E85" s="104">
        <f t="shared" si="17"/>
        <v>35290</v>
      </c>
      <c r="F85" s="43">
        <v>29240</v>
      </c>
      <c r="G85" s="43">
        <v>0</v>
      </c>
      <c r="H85" s="43">
        <v>6050</v>
      </c>
      <c r="I85" s="44">
        <v>0</v>
      </c>
      <c r="J85" s="105">
        <v>24010</v>
      </c>
      <c r="K85" s="107">
        <v>3460</v>
      </c>
      <c r="L85" s="108">
        <f t="shared" si="19"/>
        <v>20550</v>
      </c>
      <c r="M85" s="45">
        <v>0</v>
      </c>
      <c r="N85" s="46">
        <v>0</v>
      </c>
      <c r="O85" s="45">
        <v>900</v>
      </c>
      <c r="P85" s="47">
        <v>8500</v>
      </c>
      <c r="Q85" s="43">
        <v>0</v>
      </c>
      <c r="R85" s="43">
        <v>0</v>
      </c>
      <c r="S85" s="48">
        <f t="shared" si="20"/>
        <v>8500</v>
      </c>
      <c r="T85" s="49">
        <v>9720</v>
      </c>
      <c r="U85" s="44">
        <v>218.315</v>
      </c>
      <c r="V85" s="47">
        <v>841.88760301000002</v>
      </c>
      <c r="W85" s="43">
        <v>0</v>
      </c>
      <c r="X85" s="43">
        <v>0</v>
      </c>
      <c r="Y85" s="48">
        <f t="shared" si="18"/>
        <v>841.88760301000002</v>
      </c>
      <c r="Z85" s="49">
        <v>113700</v>
      </c>
      <c r="AA85" s="43">
        <v>107200</v>
      </c>
      <c r="AB85" s="43">
        <v>0</v>
      </c>
      <c r="AC85" s="43">
        <v>0</v>
      </c>
      <c r="AD85" s="43">
        <v>0</v>
      </c>
      <c r="AE85" s="44">
        <v>6500</v>
      </c>
      <c r="AF85" s="47">
        <v>0</v>
      </c>
      <c r="AG85" s="50">
        <v>20000</v>
      </c>
      <c r="AH85" s="49">
        <v>7000</v>
      </c>
      <c r="AI85" s="44">
        <v>1092</v>
      </c>
      <c r="AJ85" s="51" t="s">
        <v>194</v>
      </c>
    </row>
    <row r="86" spans="1:36" s="51" customFormat="1" ht="29.25" customHeight="1" x14ac:dyDescent="0.3">
      <c r="A86" s="106">
        <v>76</v>
      </c>
      <c r="B86" s="42" t="s">
        <v>195</v>
      </c>
      <c r="C86" s="102">
        <f t="shared" si="15"/>
        <v>146532.88924396998</v>
      </c>
      <c r="D86" s="103">
        <f t="shared" si="16"/>
        <v>84932.889243969985</v>
      </c>
      <c r="E86" s="104">
        <f t="shared" si="17"/>
        <v>26540</v>
      </c>
      <c r="F86" s="43">
        <v>19200</v>
      </c>
      <c r="G86" s="43">
        <v>0</v>
      </c>
      <c r="H86" s="43">
        <v>7340</v>
      </c>
      <c r="I86" s="44">
        <v>0</v>
      </c>
      <c r="J86" s="105">
        <v>22800</v>
      </c>
      <c r="K86" s="107">
        <v>4450</v>
      </c>
      <c r="L86" s="108">
        <f t="shared" si="19"/>
        <v>18350</v>
      </c>
      <c r="M86" s="45">
        <v>0</v>
      </c>
      <c r="N86" s="46">
        <v>0</v>
      </c>
      <c r="O86" s="45">
        <v>800</v>
      </c>
      <c r="P86" s="47">
        <v>8500</v>
      </c>
      <c r="Q86" s="43">
        <v>0</v>
      </c>
      <c r="R86" s="43">
        <v>0</v>
      </c>
      <c r="S86" s="48">
        <f t="shared" si="20"/>
        <v>8500</v>
      </c>
      <c r="T86" s="49">
        <v>8180</v>
      </c>
      <c r="U86" s="44">
        <v>147.29</v>
      </c>
      <c r="V86" s="47">
        <v>112.88924397</v>
      </c>
      <c r="W86" s="43">
        <v>0</v>
      </c>
      <c r="X86" s="43">
        <v>0</v>
      </c>
      <c r="Y86" s="48">
        <f t="shared" si="18"/>
        <v>112.88924397</v>
      </c>
      <c r="Z86" s="49">
        <v>61600</v>
      </c>
      <c r="AA86" s="43">
        <v>59600</v>
      </c>
      <c r="AB86" s="43">
        <v>0</v>
      </c>
      <c r="AC86" s="43">
        <v>0</v>
      </c>
      <c r="AD86" s="43">
        <v>0</v>
      </c>
      <c r="AE86" s="44">
        <v>2000</v>
      </c>
      <c r="AF86" s="47">
        <v>0</v>
      </c>
      <c r="AG86" s="50">
        <v>13000</v>
      </c>
      <c r="AH86" s="49">
        <v>5000</v>
      </c>
      <c r="AI86" s="44">
        <v>468</v>
      </c>
      <c r="AJ86" s="51" t="s">
        <v>196</v>
      </c>
    </row>
    <row r="87" spans="1:36" s="51" customFormat="1" ht="29.25" customHeight="1" x14ac:dyDescent="0.3">
      <c r="A87" s="106">
        <v>77</v>
      </c>
      <c r="B87" s="42" t="s">
        <v>197</v>
      </c>
      <c r="C87" s="102">
        <f t="shared" si="15"/>
        <v>262249.79681671003</v>
      </c>
      <c r="D87" s="103">
        <f t="shared" si="16"/>
        <v>231849.79681671003</v>
      </c>
      <c r="E87" s="104">
        <f t="shared" si="17"/>
        <v>85290</v>
      </c>
      <c r="F87" s="43">
        <v>63810</v>
      </c>
      <c r="G87" s="43">
        <v>10</v>
      </c>
      <c r="H87" s="43">
        <v>21470</v>
      </c>
      <c r="I87" s="44">
        <v>0</v>
      </c>
      <c r="J87" s="105">
        <v>18500</v>
      </c>
      <c r="K87" s="107">
        <v>1870</v>
      </c>
      <c r="L87" s="108">
        <f t="shared" si="19"/>
        <v>16630</v>
      </c>
      <c r="M87" s="45">
        <v>0</v>
      </c>
      <c r="N87" s="46">
        <v>0</v>
      </c>
      <c r="O87" s="45">
        <v>400</v>
      </c>
      <c r="P87" s="47">
        <v>8800</v>
      </c>
      <c r="Q87" s="43">
        <v>0</v>
      </c>
      <c r="R87" s="43">
        <v>0</v>
      </c>
      <c r="S87" s="48">
        <f t="shared" si="20"/>
        <v>8800</v>
      </c>
      <c r="T87" s="49">
        <v>99230</v>
      </c>
      <c r="U87" s="44">
        <v>375.04250000000002</v>
      </c>
      <c r="V87" s="47">
        <v>19.796816710000002</v>
      </c>
      <c r="W87" s="43">
        <v>0</v>
      </c>
      <c r="X87" s="43">
        <v>0</v>
      </c>
      <c r="Y87" s="48">
        <f t="shared" si="18"/>
        <v>19.796816710000002</v>
      </c>
      <c r="Z87" s="49">
        <v>30400</v>
      </c>
      <c r="AA87" s="43">
        <v>26400</v>
      </c>
      <c r="AB87" s="43">
        <v>0</v>
      </c>
      <c r="AC87" s="43">
        <v>0</v>
      </c>
      <c r="AD87" s="43">
        <v>0</v>
      </c>
      <c r="AE87" s="44">
        <v>4000</v>
      </c>
      <c r="AF87" s="47">
        <v>0</v>
      </c>
      <c r="AG87" s="50">
        <v>12600</v>
      </c>
      <c r="AH87" s="49">
        <v>7010</v>
      </c>
      <c r="AI87" s="44">
        <v>6240</v>
      </c>
      <c r="AJ87" s="51" t="s">
        <v>198</v>
      </c>
    </row>
    <row r="88" spans="1:36" s="51" customFormat="1" ht="29.25" customHeight="1" x14ac:dyDescent="0.3">
      <c r="A88" s="106">
        <v>78</v>
      </c>
      <c r="B88" s="42" t="s">
        <v>199</v>
      </c>
      <c r="C88" s="102">
        <f t="shared" si="15"/>
        <v>568903.98274182994</v>
      </c>
      <c r="D88" s="103">
        <f t="shared" si="16"/>
        <v>265703.98274182994</v>
      </c>
      <c r="E88" s="104">
        <f t="shared" si="17"/>
        <v>135750</v>
      </c>
      <c r="F88" s="43">
        <v>88480</v>
      </c>
      <c r="G88" s="43">
        <v>13290</v>
      </c>
      <c r="H88" s="43">
        <v>33980</v>
      </c>
      <c r="I88" s="44">
        <v>0</v>
      </c>
      <c r="J88" s="105">
        <v>36950</v>
      </c>
      <c r="K88" s="107">
        <v>15360</v>
      </c>
      <c r="L88" s="108">
        <f t="shared" si="19"/>
        <v>21590</v>
      </c>
      <c r="M88" s="45">
        <v>0</v>
      </c>
      <c r="N88" s="46">
        <v>0</v>
      </c>
      <c r="O88" s="45">
        <v>3800</v>
      </c>
      <c r="P88" s="47">
        <v>40630</v>
      </c>
      <c r="Q88" s="43">
        <v>0</v>
      </c>
      <c r="R88" s="43">
        <v>840</v>
      </c>
      <c r="S88" s="48">
        <f t="shared" si="20"/>
        <v>39790</v>
      </c>
      <c r="T88" s="49">
        <v>10710</v>
      </c>
      <c r="U88" s="44">
        <v>131.7525</v>
      </c>
      <c r="V88" s="47">
        <v>18543.982741829997</v>
      </c>
      <c r="W88" s="43">
        <v>0</v>
      </c>
      <c r="X88" s="43">
        <v>0</v>
      </c>
      <c r="Y88" s="48">
        <f t="shared" si="18"/>
        <v>18543.982741829997</v>
      </c>
      <c r="Z88" s="49">
        <v>303200</v>
      </c>
      <c r="AA88" s="43">
        <v>300000</v>
      </c>
      <c r="AB88" s="43">
        <v>0</v>
      </c>
      <c r="AC88" s="43">
        <v>0</v>
      </c>
      <c r="AD88" s="43">
        <v>0</v>
      </c>
      <c r="AE88" s="44">
        <v>3200</v>
      </c>
      <c r="AF88" s="47">
        <v>0</v>
      </c>
      <c r="AG88" s="50">
        <v>10000</v>
      </c>
      <c r="AH88" s="49">
        <v>9320</v>
      </c>
      <c r="AI88" s="44">
        <v>3120</v>
      </c>
      <c r="AJ88" s="51" t="s">
        <v>200</v>
      </c>
    </row>
    <row r="89" spans="1:36" s="51" customFormat="1" ht="29.25" customHeight="1" x14ac:dyDescent="0.3">
      <c r="A89" s="106">
        <v>79</v>
      </c>
      <c r="B89" s="42" t="s">
        <v>201</v>
      </c>
      <c r="C89" s="102">
        <f t="shared" si="15"/>
        <v>209783.0064975</v>
      </c>
      <c r="D89" s="103">
        <f t="shared" si="16"/>
        <v>71783.006497499999</v>
      </c>
      <c r="E89" s="104">
        <f t="shared" si="17"/>
        <v>20520</v>
      </c>
      <c r="F89" s="43">
        <v>16370</v>
      </c>
      <c r="G89" s="43">
        <v>10</v>
      </c>
      <c r="H89" s="43">
        <v>4140</v>
      </c>
      <c r="I89" s="44">
        <v>0</v>
      </c>
      <c r="J89" s="105">
        <v>24310</v>
      </c>
      <c r="K89" s="107">
        <v>7850</v>
      </c>
      <c r="L89" s="108">
        <f t="shared" si="19"/>
        <v>16460</v>
      </c>
      <c r="M89" s="45">
        <v>0</v>
      </c>
      <c r="N89" s="46">
        <v>0</v>
      </c>
      <c r="O89" s="45">
        <v>1100</v>
      </c>
      <c r="P89" s="47">
        <v>8290</v>
      </c>
      <c r="Q89" s="43">
        <v>0</v>
      </c>
      <c r="R89" s="43">
        <v>0</v>
      </c>
      <c r="S89" s="48">
        <f t="shared" si="20"/>
        <v>8290</v>
      </c>
      <c r="T89" s="49">
        <v>8130</v>
      </c>
      <c r="U89" s="44">
        <v>219.56872250000001</v>
      </c>
      <c r="V89" s="47">
        <v>613.00649750000002</v>
      </c>
      <c r="W89" s="43">
        <v>0</v>
      </c>
      <c r="X89" s="43">
        <v>0</v>
      </c>
      <c r="Y89" s="48">
        <f t="shared" si="18"/>
        <v>613.00649750000002</v>
      </c>
      <c r="Z89" s="49">
        <v>138000</v>
      </c>
      <c r="AA89" s="43">
        <v>123000</v>
      </c>
      <c r="AB89" s="43">
        <v>0</v>
      </c>
      <c r="AC89" s="43">
        <v>0</v>
      </c>
      <c r="AD89" s="43">
        <v>0</v>
      </c>
      <c r="AE89" s="44">
        <v>15000</v>
      </c>
      <c r="AF89" s="47">
        <v>0</v>
      </c>
      <c r="AG89" s="50">
        <v>2000</v>
      </c>
      <c r="AH89" s="49">
        <v>6820</v>
      </c>
      <c r="AI89" s="44">
        <v>2028</v>
      </c>
      <c r="AJ89" s="51" t="s">
        <v>202</v>
      </c>
    </row>
    <row r="90" spans="1:36" s="51" customFormat="1" ht="29.25" customHeight="1" x14ac:dyDescent="0.3">
      <c r="A90" s="106">
        <v>80</v>
      </c>
      <c r="B90" s="42" t="s">
        <v>203</v>
      </c>
      <c r="C90" s="102">
        <f t="shared" si="15"/>
        <v>480869.31892877002</v>
      </c>
      <c r="D90" s="103">
        <f t="shared" si="16"/>
        <v>175869.31892877002</v>
      </c>
      <c r="E90" s="104">
        <f t="shared" si="17"/>
        <v>102770</v>
      </c>
      <c r="F90" s="43">
        <v>61720</v>
      </c>
      <c r="G90" s="43">
        <v>10</v>
      </c>
      <c r="H90" s="43">
        <v>41040</v>
      </c>
      <c r="I90" s="44">
        <v>0</v>
      </c>
      <c r="J90" s="105">
        <v>20640</v>
      </c>
      <c r="K90" s="107">
        <v>2960</v>
      </c>
      <c r="L90" s="108">
        <f t="shared" si="19"/>
        <v>17680</v>
      </c>
      <c r="M90" s="45">
        <v>0</v>
      </c>
      <c r="N90" s="46">
        <v>0</v>
      </c>
      <c r="O90" s="45">
        <v>1450</v>
      </c>
      <c r="P90" s="47">
        <v>18930</v>
      </c>
      <c r="Q90" s="43">
        <v>0</v>
      </c>
      <c r="R90" s="43">
        <v>3260</v>
      </c>
      <c r="S90" s="48">
        <f t="shared" si="20"/>
        <v>15670</v>
      </c>
      <c r="T90" s="49">
        <v>8620</v>
      </c>
      <c r="U90" s="44">
        <v>245.95750000000001</v>
      </c>
      <c r="V90" s="47">
        <v>1819.31892877</v>
      </c>
      <c r="W90" s="43">
        <v>0</v>
      </c>
      <c r="X90" s="43">
        <v>0</v>
      </c>
      <c r="Y90" s="48">
        <f t="shared" si="18"/>
        <v>1819.31892877</v>
      </c>
      <c r="Z90" s="49">
        <v>305000</v>
      </c>
      <c r="AA90" s="43">
        <v>290000</v>
      </c>
      <c r="AB90" s="43">
        <v>0</v>
      </c>
      <c r="AC90" s="43">
        <v>0</v>
      </c>
      <c r="AD90" s="43">
        <v>0</v>
      </c>
      <c r="AE90" s="44">
        <v>15000</v>
      </c>
      <c r="AF90" s="47">
        <v>0</v>
      </c>
      <c r="AG90" s="50">
        <v>12600</v>
      </c>
      <c r="AH90" s="49">
        <v>9040</v>
      </c>
      <c r="AI90" s="44">
        <v>7800</v>
      </c>
      <c r="AJ90" s="51" t="s">
        <v>204</v>
      </c>
    </row>
    <row r="91" spans="1:36" s="51" customFormat="1" ht="29.25" customHeight="1" x14ac:dyDescent="0.3">
      <c r="A91" s="106">
        <v>81</v>
      </c>
      <c r="B91" s="42" t="s">
        <v>205</v>
      </c>
      <c r="C91" s="102">
        <f t="shared" si="15"/>
        <v>179715.91354949001</v>
      </c>
      <c r="D91" s="103">
        <f t="shared" si="16"/>
        <v>164715.91354949001</v>
      </c>
      <c r="E91" s="104">
        <f t="shared" si="17"/>
        <v>38620</v>
      </c>
      <c r="F91" s="43">
        <v>29960</v>
      </c>
      <c r="G91" s="43">
        <v>20</v>
      </c>
      <c r="H91" s="43">
        <v>8640</v>
      </c>
      <c r="I91" s="44">
        <v>0</v>
      </c>
      <c r="J91" s="105">
        <v>35390</v>
      </c>
      <c r="K91" s="107">
        <v>13690</v>
      </c>
      <c r="L91" s="108">
        <f t="shared" si="19"/>
        <v>21700</v>
      </c>
      <c r="M91" s="45">
        <v>0</v>
      </c>
      <c r="N91" s="46">
        <v>0</v>
      </c>
      <c r="O91" s="45">
        <v>2150</v>
      </c>
      <c r="P91" s="47">
        <v>52340</v>
      </c>
      <c r="Q91" s="43">
        <v>0</v>
      </c>
      <c r="R91" s="43">
        <v>0</v>
      </c>
      <c r="S91" s="48">
        <f t="shared" si="20"/>
        <v>52340</v>
      </c>
      <c r="T91" s="49">
        <v>9190</v>
      </c>
      <c r="U91" s="44">
        <v>111.67749999999999</v>
      </c>
      <c r="V91" s="47">
        <v>6845.9135494900002</v>
      </c>
      <c r="W91" s="43">
        <v>0</v>
      </c>
      <c r="X91" s="43">
        <v>0</v>
      </c>
      <c r="Y91" s="48">
        <f t="shared" si="18"/>
        <v>6845.9135494900002</v>
      </c>
      <c r="Z91" s="49">
        <v>15000</v>
      </c>
      <c r="AA91" s="43">
        <v>0</v>
      </c>
      <c r="AB91" s="43">
        <v>0</v>
      </c>
      <c r="AC91" s="43">
        <v>0</v>
      </c>
      <c r="AD91" s="43">
        <v>0</v>
      </c>
      <c r="AE91" s="44">
        <v>15000</v>
      </c>
      <c r="AF91" s="47">
        <v>0</v>
      </c>
      <c r="AG91" s="50">
        <v>15460</v>
      </c>
      <c r="AH91" s="49">
        <v>4720</v>
      </c>
      <c r="AI91" s="44">
        <v>1092</v>
      </c>
      <c r="AJ91" s="51" t="s">
        <v>206</v>
      </c>
    </row>
    <row r="92" spans="1:36" s="51" customFormat="1" ht="29.25" customHeight="1" x14ac:dyDescent="0.3">
      <c r="A92" s="106">
        <v>82</v>
      </c>
      <c r="B92" s="42" t="s">
        <v>207</v>
      </c>
      <c r="C92" s="102">
        <f t="shared" si="15"/>
        <v>275974.21179416997</v>
      </c>
      <c r="D92" s="103">
        <f t="shared" si="16"/>
        <v>243974.21179416997</v>
      </c>
      <c r="E92" s="104">
        <f t="shared" si="17"/>
        <v>154150</v>
      </c>
      <c r="F92" s="43">
        <v>86600</v>
      </c>
      <c r="G92" s="43">
        <v>60630</v>
      </c>
      <c r="H92" s="43">
        <v>6900</v>
      </c>
      <c r="I92" s="44">
        <v>20</v>
      </c>
      <c r="J92" s="105">
        <v>37500</v>
      </c>
      <c r="K92" s="107">
        <v>9750</v>
      </c>
      <c r="L92" s="108">
        <f t="shared" si="19"/>
        <v>27750</v>
      </c>
      <c r="M92" s="45">
        <v>0</v>
      </c>
      <c r="N92" s="46">
        <v>0</v>
      </c>
      <c r="O92" s="45">
        <v>2300</v>
      </c>
      <c r="P92" s="47">
        <v>30310</v>
      </c>
      <c r="Q92" s="43">
        <v>0</v>
      </c>
      <c r="R92" s="43">
        <v>4710</v>
      </c>
      <c r="S92" s="48">
        <f t="shared" si="20"/>
        <v>25600</v>
      </c>
      <c r="T92" s="49">
        <v>5730</v>
      </c>
      <c r="U92" s="44">
        <v>9.1024999999999991</v>
      </c>
      <c r="V92" s="47">
        <v>7894.2117941699998</v>
      </c>
      <c r="W92" s="43">
        <v>0</v>
      </c>
      <c r="X92" s="43">
        <v>690</v>
      </c>
      <c r="Y92" s="48">
        <f t="shared" si="18"/>
        <v>7204.2117941699998</v>
      </c>
      <c r="Z92" s="49">
        <v>32000</v>
      </c>
      <c r="AA92" s="43">
        <v>17000</v>
      </c>
      <c r="AB92" s="43">
        <v>0</v>
      </c>
      <c r="AC92" s="43">
        <v>0</v>
      </c>
      <c r="AD92" s="43">
        <v>0</v>
      </c>
      <c r="AE92" s="44">
        <v>15000</v>
      </c>
      <c r="AF92" s="47">
        <v>0</v>
      </c>
      <c r="AG92" s="50">
        <v>4650</v>
      </c>
      <c r="AH92" s="49">
        <v>1440</v>
      </c>
      <c r="AI92" s="44">
        <v>1404</v>
      </c>
      <c r="AJ92" s="51" t="s">
        <v>208</v>
      </c>
    </row>
    <row r="93" spans="1:36" s="51" customFormat="1" ht="29.25" customHeight="1" x14ac:dyDescent="0.3">
      <c r="A93" s="106">
        <v>83</v>
      </c>
      <c r="B93" s="42" t="s">
        <v>209</v>
      </c>
      <c r="C93" s="102">
        <f t="shared" si="15"/>
        <v>467182.66642372997</v>
      </c>
      <c r="D93" s="103">
        <f t="shared" si="16"/>
        <v>187682.66642372997</v>
      </c>
      <c r="E93" s="104">
        <f t="shared" si="17"/>
        <v>70410</v>
      </c>
      <c r="F93" s="43">
        <v>55450</v>
      </c>
      <c r="G93" s="43">
        <v>800</v>
      </c>
      <c r="H93" s="43">
        <v>14160</v>
      </c>
      <c r="I93" s="44">
        <v>0</v>
      </c>
      <c r="J93" s="105">
        <v>34470</v>
      </c>
      <c r="K93" s="107">
        <v>5320</v>
      </c>
      <c r="L93" s="108">
        <f t="shared" si="19"/>
        <v>29150</v>
      </c>
      <c r="M93" s="45">
        <v>0</v>
      </c>
      <c r="N93" s="46">
        <v>0</v>
      </c>
      <c r="O93" s="45">
        <v>1050</v>
      </c>
      <c r="P93" s="47">
        <v>23830</v>
      </c>
      <c r="Q93" s="43">
        <v>0</v>
      </c>
      <c r="R93" s="43">
        <v>0</v>
      </c>
      <c r="S93" s="48">
        <f t="shared" si="20"/>
        <v>23830</v>
      </c>
      <c r="T93" s="49">
        <v>17170</v>
      </c>
      <c r="U93" s="44">
        <v>201.22499999999999</v>
      </c>
      <c r="V93" s="47">
        <v>5202.6664237299992</v>
      </c>
      <c r="W93" s="43">
        <v>0</v>
      </c>
      <c r="X93" s="43">
        <v>0</v>
      </c>
      <c r="Y93" s="48">
        <f t="shared" si="18"/>
        <v>5202.6664237299992</v>
      </c>
      <c r="Z93" s="49">
        <v>279500</v>
      </c>
      <c r="AA93" s="43">
        <v>273500</v>
      </c>
      <c r="AB93" s="43">
        <v>0</v>
      </c>
      <c r="AC93" s="43">
        <v>0</v>
      </c>
      <c r="AD93" s="43">
        <v>0</v>
      </c>
      <c r="AE93" s="44">
        <v>6000</v>
      </c>
      <c r="AF93" s="47">
        <v>0</v>
      </c>
      <c r="AG93" s="50">
        <v>18500</v>
      </c>
      <c r="AH93" s="49">
        <v>17050</v>
      </c>
      <c r="AI93" s="44">
        <v>1248</v>
      </c>
      <c r="AJ93" s="51" t="s">
        <v>210</v>
      </c>
    </row>
    <row r="94" spans="1:36" s="51" customFormat="1" ht="29.25" customHeight="1" x14ac:dyDescent="0.3">
      <c r="A94" s="106">
        <v>84</v>
      </c>
      <c r="B94" s="42" t="s">
        <v>211</v>
      </c>
      <c r="C94" s="102">
        <f t="shared" si="15"/>
        <v>252239.35879288998</v>
      </c>
      <c r="D94" s="103">
        <f t="shared" si="16"/>
        <v>108039.35879288998</v>
      </c>
      <c r="E94" s="104">
        <f t="shared" si="17"/>
        <v>41190</v>
      </c>
      <c r="F94" s="43">
        <v>34980</v>
      </c>
      <c r="G94" s="43">
        <v>0</v>
      </c>
      <c r="H94" s="43">
        <v>6130</v>
      </c>
      <c r="I94" s="44">
        <v>80</v>
      </c>
      <c r="J94" s="105">
        <v>26710</v>
      </c>
      <c r="K94" s="107">
        <v>2750</v>
      </c>
      <c r="L94" s="108">
        <f t="shared" si="19"/>
        <v>23960</v>
      </c>
      <c r="M94" s="45">
        <v>0</v>
      </c>
      <c r="N94" s="46">
        <v>0</v>
      </c>
      <c r="O94" s="45">
        <v>1070</v>
      </c>
      <c r="P94" s="47">
        <v>15690</v>
      </c>
      <c r="Q94" s="43">
        <v>0</v>
      </c>
      <c r="R94" s="43">
        <v>0</v>
      </c>
      <c r="S94" s="48">
        <f t="shared" si="20"/>
        <v>15690</v>
      </c>
      <c r="T94" s="49">
        <v>4260</v>
      </c>
      <c r="U94" s="44">
        <v>255.89825250000001</v>
      </c>
      <c r="V94" s="47">
        <v>1479.3587928900001</v>
      </c>
      <c r="W94" s="43">
        <v>0</v>
      </c>
      <c r="X94" s="43">
        <v>0</v>
      </c>
      <c r="Y94" s="48">
        <f t="shared" si="18"/>
        <v>1479.3587928900001</v>
      </c>
      <c r="Z94" s="49">
        <v>144200</v>
      </c>
      <c r="AA94" s="43">
        <v>138200</v>
      </c>
      <c r="AB94" s="43">
        <v>0</v>
      </c>
      <c r="AC94" s="43">
        <v>0</v>
      </c>
      <c r="AD94" s="43">
        <v>0</v>
      </c>
      <c r="AE94" s="44">
        <v>6000</v>
      </c>
      <c r="AF94" s="47">
        <v>0</v>
      </c>
      <c r="AG94" s="50">
        <v>15000</v>
      </c>
      <c r="AH94" s="49">
        <v>2640</v>
      </c>
      <c r="AI94" s="44">
        <v>624</v>
      </c>
      <c r="AJ94" s="51" t="s">
        <v>212</v>
      </c>
    </row>
    <row r="95" spans="1:36" s="51" customFormat="1" ht="29.25" customHeight="1" x14ac:dyDescent="0.3">
      <c r="A95" s="106">
        <v>85</v>
      </c>
      <c r="B95" s="42" t="s">
        <v>213</v>
      </c>
      <c r="C95" s="102">
        <f t="shared" si="15"/>
        <v>1617678.5681797999</v>
      </c>
      <c r="D95" s="103">
        <f t="shared" si="16"/>
        <v>985078.56817979994</v>
      </c>
      <c r="E95" s="104">
        <f t="shared" si="17"/>
        <v>51060</v>
      </c>
      <c r="F95" s="43">
        <v>42590</v>
      </c>
      <c r="G95" s="43">
        <v>0</v>
      </c>
      <c r="H95" s="43">
        <v>8350</v>
      </c>
      <c r="I95" s="44">
        <v>120</v>
      </c>
      <c r="J95" s="105">
        <v>35280</v>
      </c>
      <c r="K95" s="107">
        <v>2860</v>
      </c>
      <c r="L95" s="108">
        <f t="shared" si="19"/>
        <v>32420</v>
      </c>
      <c r="M95" s="45">
        <v>0</v>
      </c>
      <c r="N95" s="46">
        <v>0</v>
      </c>
      <c r="O95" s="45">
        <v>1300</v>
      </c>
      <c r="P95" s="47">
        <v>17450</v>
      </c>
      <c r="Q95" s="43">
        <v>0</v>
      </c>
      <c r="R95" s="43">
        <v>10</v>
      </c>
      <c r="S95" s="48">
        <f t="shared" si="20"/>
        <v>17440</v>
      </c>
      <c r="T95" s="49">
        <v>7220</v>
      </c>
      <c r="U95" s="44">
        <v>175.505</v>
      </c>
      <c r="V95" s="47">
        <v>848458.56817979994</v>
      </c>
      <c r="W95" s="43">
        <v>841000</v>
      </c>
      <c r="X95" s="43">
        <v>0</v>
      </c>
      <c r="Y95" s="48">
        <f t="shared" si="18"/>
        <v>7458.5681797999423</v>
      </c>
      <c r="Z95" s="49">
        <v>632600</v>
      </c>
      <c r="AA95" s="43">
        <v>625600</v>
      </c>
      <c r="AB95" s="43">
        <v>0</v>
      </c>
      <c r="AC95" s="43">
        <v>0</v>
      </c>
      <c r="AD95" s="43">
        <v>0</v>
      </c>
      <c r="AE95" s="44">
        <v>7000</v>
      </c>
      <c r="AF95" s="47">
        <v>0</v>
      </c>
      <c r="AG95" s="50">
        <v>20000</v>
      </c>
      <c r="AH95" s="49">
        <v>4310</v>
      </c>
      <c r="AI95" s="44">
        <v>780</v>
      </c>
      <c r="AJ95" s="51" t="s">
        <v>214</v>
      </c>
    </row>
    <row r="96" spans="1:36" s="51" customFormat="1" ht="29.25" customHeight="1" x14ac:dyDescent="0.3">
      <c r="A96" s="106">
        <v>86</v>
      </c>
      <c r="B96" s="42" t="s">
        <v>215</v>
      </c>
      <c r="C96" s="102">
        <f t="shared" si="15"/>
        <v>1141425.4563354999</v>
      </c>
      <c r="D96" s="103">
        <f t="shared" si="16"/>
        <v>644625.45633549988</v>
      </c>
      <c r="E96" s="104">
        <f t="shared" si="17"/>
        <v>291920</v>
      </c>
      <c r="F96" s="43">
        <v>212820</v>
      </c>
      <c r="G96" s="43">
        <v>2900</v>
      </c>
      <c r="H96" s="43">
        <v>76200</v>
      </c>
      <c r="I96" s="44">
        <v>0</v>
      </c>
      <c r="J96" s="105">
        <v>65880</v>
      </c>
      <c r="K96" s="107">
        <v>24360</v>
      </c>
      <c r="L96" s="108">
        <f t="shared" si="19"/>
        <v>41520</v>
      </c>
      <c r="M96" s="45">
        <v>20</v>
      </c>
      <c r="N96" s="46">
        <v>30</v>
      </c>
      <c r="O96" s="45">
        <v>5600</v>
      </c>
      <c r="P96" s="47">
        <v>59050</v>
      </c>
      <c r="Q96" s="43">
        <v>0</v>
      </c>
      <c r="R96" s="43">
        <v>4050</v>
      </c>
      <c r="S96" s="48">
        <f t="shared" si="20"/>
        <v>55000</v>
      </c>
      <c r="T96" s="49">
        <v>19540</v>
      </c>
      <c r="U96" s="44">
        <v>180.19</v>
      </c>
      <c r="V96" s="47">
        <v>184885.4563355</v>
      </c>
      <c r="W96" s="43">
        <v>150000</v>
      </c>
      <c r="X96" s="43">
        <v>0</v>
      </c>
      <c r="Y96" s="48">
        <f t="shared" si="18"/>
        <v>34885.456335499999</v>
      </c>
      <c r="Z96" s="49">
        <v>496800</v>
      </c>
      <c r="AA96" s="43">
        <v>0</v>
      </c>
      <c r="AB96" s="43">
        <v>422000</v>
      </c>
      <c r="AC96" s="43">
        <v>0</v>
      </c>
      <c r="AD96" s="43">
        <v>0</v>
      </c>
      <c r="AE96" s="44">
        <v>74800</v>
      </c>
      <c r="AF96" s="47">
        <v>0</v>
      </c>
      <c r="AG96" s="50">
        <v>8400</v>
      </c>
      <c r="AH96" s="49">
        <v>9300</v>
      </c>
      <c r="AI96" s="44">
        <v>1404</v>
      </c>
      <c r="AJ96" s="51" t="s">
        <v>216</v>
      </c>
    </row>
    <row r="97" spans="1:36" s="51" customFormat="1" ht="29.25" customHeight="1" x14ac:dyDescent="0.3">
      <c r="A97" s="106">
        <v>87</v>
      </c>
      <c r="B97" s="42" t="s">
        <v>217</v>
      </c>
      <c r="C97" s="102">
        <f t="shared" si="15"/>
        <v>1155498.47744714</v>
      </c>
      <c r="D97" s="103">
        <f t="shared" si="16"/>
        <v>495808.47744714003</v>
      </c>
      <c r="E97" s="104">
        <f t="shared" si="17"/>
        <v>259410</v>
      </c>
      <c r="F97" s="43">
        <v>196320</v>
      </c>
      <c r="G97" s="43">
        <v>50</v>
      </c>
      <c r="H97" s="43">
        <v>62590</v>
      </c>
      <c r="I97" s="44">
        <v>450</v>
      </c>
      <c r="J97" s="105">
        <v>60890</v>
      </c>
      <c r="K97" s="107">
        <v>9620</v>
      </c>
      <c r="L97" s="108">
        <f t="shared" si="19"/>
        <v>51270</v>
      </c>
      <c r="M97" s="45">
        <v>0</v>
      </c>
      <c r="N97" s="46">
        <v>0</v>
      </c>
      <c r="O97" s="45">
        <v>5900</v>
      </c>
      <c r="P97" s="47">
        <v>60800</v>
      </c>
      <c r="Q97" s="43">
        <v>0</v>
      </c>
      <c r="R97" s="43">
        <v>0</v>
      </c>
      <c r="S97" s="48">
        <f t="shared" si="20"/>
        <v>60800</v>
      </c>
      <c r="T97" s="49">
        <v>20660</v>
      </c>
      <c r="U97" s="44">
        <v>372.77749999999997</v>
      </c>
      <c r="V97" s="47">
        <v>59628.477447140001</v>
      </c>
      <c r="W97" s="43">
        <v>0</v>
      </c>
      <c r="X97" s="43">
        <v>0</v>
      </c>
      <c r="Y97" s="48">
        <f t="shared" si="18"/>
        <v>59628.477447140001</v>
      </c>
      <c r="Z97" s="49">
        <v>659690</v>
      </c>
      <c r="AA97" s="43">
        <v>209600</v>
      </c>
      <c r="AB97" s="43">
        <v>442090</v>
      </c>
      <c r="AC97" s="43">
        <v>0</v>
      </c>
      <c r="AD97" s="43">
        <v>0</v>
      </c>
      <c r="AE97" s="44">
        <v>8000</v>
      </c>
      <c r="AF97" s="47">
        <v>0</v>
      </c>
      <c r="AG97" s="50">
        <v>13720</v>
      </c>
      <c r="AH97" s="49">
        <v>14800</v>
      </c>
      <c r="AI97" s="44">
        <v>1872</v>
      </c>
      <c r="AJ97" s="51" t="s">
        <v>218</v>
      </c>
    </row>
    <row r="98" spans="1:36" s="51" customFormat="1" ht="29.25" customHeight="1" x14ac:dyDescent="0.3">
      <c r="A98" s="106">
        <v>88</v>
      </c>
      <c r="B98" s="42" t="s">
        <v>219</v>
      </c>
      <c r="C98" s="102">
        <f t="shared" si="15"/>
        <v>207330.79535987001</v>
      </c>
      <c r="D98" s="103">
        <f t="shared" si="16"/>
        <v>191330.79535987001</v>
      </c>
      <c r="E98" s="104">
        <f t="shared" si="17"/>
        <v>113740</v>
      </c>
      <c r="F98" s="43">
        <v>94790</v>
      </c>
      <c r="G98" s="43">
        <v>10</v>
      </c>
      <c r="H98" s="43">
        <v>18940</v>
      </c>
      <c r="I98" s="44">
        <v>0</v>
      </c>
      <c r="J98" s="105">
        <v>31480</v>
      </c>
      <c r="K98" s="107">
        <v>4010</v>
      </c>
      <c r="L98" s="108">
        <f t="shared" si="19"/>
        <v>27470</v>
      </c>
      <c r="M98" s="45">
        <v>0</v>
      </c>
      <c r="N98" s="46">
        <v>0</v>
      </c>
      <c r="O98" s="45">
        <v>2350</v>
      </c>
      <c r="P98" s="47">
        <v>15500</v>
      </c>
      <c r="Q98" s="43">
        <v>0</v>
      </c>
      <c r="R98" s="43">
        <v>0</v>
      </c>
      <c r="S98" s="48">
        <f t="shared" si="20"/>
        <v>15500</v>
      </c>
      <c r="T98" s="49">
        <v>8290</v>
      </c>
      <c r="U98" s="44">
        <v>211.981765</v>
      </c>
      <c r="V98" s="47">
        <v>4870.7953598699996</v>
      </c>
      <c r="W98" s="43">
        <v>0</v>
      </c>
      <c r="X98" s="43">
        <v>0</v>
      </c>
      <c r="Y98" s="48">
        <f t="shared" si="18"/>
        <v>4870.7953598699996</v>
      </c>
      <c r="Z98" s="49">
        <v>16000</v>
      </c>
      <c r="AA98" s="43">
        <v>0</v>
      </c>
      <c r="AB98" s="43">
        <v>0</v>
      </c>
      <c r="AC98" s="43">
        <v>0</v>
      </c>
      <c r="AD98" s="43">
        <v>0</v>
      </c>
      <c r="AE98" s="44">
        <v>16000</v>
      </c>
      <c r="AF98" s="47">
        <v>0</v>
      </c>
      <c r="AG98" s="50">
        <v>11200</v>
      </c>
      <c r="AH98" s="49">
        <v>3900</v>
      </c>
      <c r="AI98" s="44">
        <v>624</v>
      </c>
      <c r="AJ98" s="51" t="s">
        <v>220</v>
      </c>
    </row>
    <row r="99" spans="1:36" s="51" customFormat="1" ht="29.25" customHeight="1" x14ac:dyDescent="0.3">
      <c r="A99" s="106">
        <v>89</v>
      </c>
      <c r="B99" s="42" t="s">
        <v>221</v>
      </c>
      <c r="C99" s="102">
        <f t="shared" si="15"/>
        <v>509913.72282377997</v>
      </c>
      <c r="D99" s="103">
        <f t="shared" si="16"/>
        <v>392913.72282377997</v>
      </c>
      <c r="E99" s="104">
        <f t="shared" si="17"/>
        <v>284050</v>
      </c>
      <c r="F99" s="43">
        <v>192300</v>
      </c>
      <c r="G99" s="43">
        <v>0</v>
      </c>
      <c r="H99" s="43">
        <v>91700</v>
      </c>
      <c r="I99" s="44">
        <v>50</v>
      </c>
      <c r="J99" s="105">
        <v>28080</v>
      </c>
      <c r="K99" s="107">
        <v>4600</v>
      </c>
      <c r="L99" s="108">
        <f t="shared" si="19"/>
        <v>23480</v>
      </c>
      <c r="M99" s="45">
        <v>0</v>
      </c>
      <c r="N99" s="46">
        <v>0</v>
      </c>
      <c r="O99" s="45">
        <v>2900</v>
      </c>
      <c r="P99" s="47">
        <v>34610</v>
      </c>
      <c r="Q99" s="43">
        <v>0</v>
      </c>
      <c r="R99" s="43">
        <v>12810</v>
      </c>
      <c r="S99" s="48">
        <f t="shared" si="20"/>
        <v>21800</v>
      </c>
      <c r="T99" s="49">
        <v>12540</v>
      </c>
      <c r="U99" s="44">
        <v>169.8475</v>
      </c>
      <c r="V99" s="47">
        <v>21348.722823779997</v>
      </c>
      <c r="W99" s="43">
        <v>0</v>
      </c>
      <c r="X99" s="43">
        <v>1850</v>
      </c>
      <c r="Y99" s="48">
        <f t="shared" si="18"/>
        <v>19498.722823779997</v>
      </c>
      <c r="Z99" s="49">
        <v>117000</v>
      </c>
      <c r="AA99" s="43">
        <v>0</v>
      </c>
      <c r="AB99" s="43">
        <v>110000</v>
      </c>
      <c r="AC99" s="43">
        <v>0</v>
      </c>
      <c r="AD99" s="43">
        <v>0</v>
      </c>
      <c r="AE99" s="44">
        <v>7000</v>
      </c>
      <c r="AF99" s="47">
        <v>0</v>
      </c>
      <c r="AG99" s="50">
        <v>3255</v>
      </c>
      <c r="AH99" s="49">
        <v>6130</v>
      </c>
      <c r="AI99" s="44">
        <v>468</v>
      </c>
      <c r="AJ99" s="51" t="s">
        <v>222</v>
      </c>
    </row>
    <row r="100" spans="1:36" s="51" customFormat="1" ht="29.25" customHeight="1" x14ac:dyDescent="0.3">
      <c r="A100" s="106">
        <v>90</v>
      </c>
      <c r="B100" s="42" t="s">
        <v>223</v>
      </c>
      <c r="C100" s="102">
        <f t="shared" si="15"/>
        <v>1203391.98016772</v>
      </c>
      <c r="D100" s="103">
        <f t="shared" si="16"/>
        <v>215891.98016772</v>
      </c>
      <c r="E100" s="104">
        <f t="shared" si="17"/>
        <v>81580</v>
      </c>
      <c r="F100" s="43">
        <v>64490</v>
      </c>
      <c r="G100" s="43">
        <v>40</v>
      </c>
      <c r="H100" s="43">
        <v>17030</v>
      </c>
      <c r="I100" s="44">
        <v>20</v>
      </c>
      <c r="J100" s="105">
        <v>43340</v>
      </c>
      <c r="K100" s="107">
        <v>9330</v>
      </c>
      <c r="L100" s="108">
        <f t="shared" si="19"/>
        <v>34010</v>
      </c>
      <c r="M100" s="45">
        <v>0</v>
      </c>
      <c r="N100" s="46">
        <v>0</v>
      </c>
      <c r="O100" s="45">
        <v>3250</v>
      </c>
      <c r="P100" s="47">
        <v>39910</v>
      </c>
      <c r="Q100" s="43">
        <v>0</v>
      </c>
      <c r="R100" s="43">
        <v>1450</v>
      </c>
      <c r="S100" s="48">
        <f t="shared" si="20"/>
        <v>38460</v>
      </c>
      <c r="T100" s="49">
        <v>7450</v>
      </c>
      <c r="U100" s="44">
        <v>253.47226499999999</v>
      </c>
      <c r="V100" s="47">
        <v>29691.980167719998</v>
      </c>
      <c r="W100" s="43">
        <v>0</v>
      </c>
      <c r="X100" s="43">
        <v>80</v>
      </c>
      <c r="Y100" s="48">
        <f t="shared" si="18"/>
        <v>29611.980167719998</v>
      </c>
      <c r="Z100" s="49">
        <v>987500</v>
      </c>
      <c r="AA100" s="43">
        <v>177500</v>
      </c>
      <c r="AB100" s="43">
        <v>0</v>
      </c>
      <c r="AC100" s="43">
        <v>0</v>
      </c>
      <c r="AD100" s="43">
        <v>806000</v>
      </c>
      <c r="AE100" s="44">
        <v>4000</v>
      </c>
      <c r="AF100" s="47">
        <v>0</v>
      </c>
      <c r="AG100" s="50">
        <v>7000</v>
      </c>
      <c r="AH100" s="49">
        <v>3670</v>
      </c>
      <c r="AI100" s="44">
        <v>1560</v>
      </c>
      <c r="AJ100" s="51" t="s">
        <v>224</v>
      </c>
    </row>
    <row r="101" spans="1:36" s="51" customFormat="1" ht="29.25" customHeight="1" x14ac:dyDescent="0.3">
      <c r="A101" s="106">
        <v>91</v>
      </c>
      <c r="B101" s="42" t="s">
        <v>225</v>
      </c>
      <c r="C101" s="102">
        <f t="shared" si="15"/>
        <v>647289.64117784007</v>
      </c>
      <c r="D101" s="103">
        <f t="shared" si="16"/>
        <v>114889.64117784007</v>
      </c>
      <c r="E101" s="104">
        <f t="shared" si="17"/>
        <v>33520</v>
      </c>
      <c r="F101" s="43">
        <v>27260</v>
      </c>
      <c r="G101" s="43">
        <v>0</v>
      </c>
      <c r="H101" s="43">
        <v>5540</v>
      </c>
      <c r="I101" s="44">
        <v>720</v>
      </c>
      <c r="J101" s="105">
        <v>34840</v>
      </c>
      <c r="K101" s="107">
        <v>5370</v>
      </c>
      <c r="L101" s="108">
        <f t="shared" si="19"/>
        <v>29470</v>
      </c>
      <c r="M101" s="45">
        <v>3720</v>
      </c>
      <c r="N101" s="46">
        <v>0</v>
      </c>
      <c r="O101" s="45">
        <v>1000</v>
      </c>
      <c r="P101" s="47">
        <v>9980</v>
      </c>
      <c r="Q101" s="43">
        <v>0</v>
      </c>
      <c r="R101" s="43">
        <v>280</v>
      </c>
      <c r="S101" s="48">
        <f t="shared" si="20"/>
        <v>9700</v>
      </c>
      <c r="T101" s="49">
        <v>7630</v>
      </c>
      <c r="U101" s="44">
        <v>243.87875</v>
      </c>
      <c r="V101" s="47">
        <v>1129.64117784</v>
      </c>
      <c r="W101" s="43">
        <v>0</v>
      </c>
      <c r="X101" s="43">
        <v>0</v>
      </c>
      <c r="Y101" s="48">
        <f t="shared" si="18"/>
        <v>1129.64117784</v>
      </c>
      <c r="Z101" s="49">
        <v>532400</v>
      </c>
      <c r="AA101" s="43">
        <v>528400</v>
      </c>
      <c r="AB101" s="43">
        <v>0</v>
      </c>
      <c r="AC101" s="43">
        <v>0</v>
      </c>
      <c r="AD101" s="43">
        <v>0</v>
      </c>
      <c r="AE101" s="44">
        <v>4000</v>
      </c>
      <c r="AF101" s="47">
        <v>0</v>
      </c>
      <c r="AG101" s="50">
        <v>20000</v>
      </c>
      <c r="AH101" s="49">
        <v>3070</v>
      </c>
      <c r="AI101" s="44">
        <v>624</v>
      </c>
      <c r="AJ101" s="51" t="s">
        <v>226</v>
      </c>
    </row>
    <row r="102" spans="1:36" s="51" customFormat="1" ht="29.25" customHeight="1" x14ac:dyDescent="0.3">
      <c r="A102" s="106">
        <v>92</v>
      </c>
      <c r="B102" s="42" t="s">
        <v>227</v>
      </c>
      <c r="C102" s="102">
        <f t="shared" si="15"/>
        <v>465082.45354507002</v>
      </c>
      <c r="D102" s="103">
        <f t="shared" si="16"/>
        <v>118682.45354507002</v>
      </c>
      <c r="E102" s="104">
        <f t="shared" si="17"/>
        <v>46640</v>
      </c>
      <c r="F102" s="43">
        <v>38670</v>
      </c>
      <c r="G102" s="43">
        <v>0</v>
      </c>
      <c r="H102" s="43">
        <v>7970</v>
      </c>
      <c r="I102" s="44">
        <v>0</v>
      </c>
      <c r="J102" s="105">
        <v>29750</v>
      </c>
      <c r="K102" s="107">
        <v>5450</v>
      </c>
      <c r="L102" s="108">
        <f t="shared" si="19"/>
        <v>24300</v>
      </c>
      <c r="M102" s="45">
        <v>0</v>
      </c>
      <c r="N102" s="46">
        <v>0</v>
      </c>
      <c r="O102" s="45">
        <v>1300</v>
      </c>
      <c r="P102" s="47">
        <v>12450</v>
      </c>
      <c r="Q102" s="43">
        <v>0</v>
      </c>
      <c r="R102" s="43">
        <v>0</v>
      </c>
      <c r="S102" s="48">
        <f t="shared" si="20"/>
        <v>12450</v>
      </c>
      <c r="T102" s="49">
        <v>6680</v>
      </c>
      <c r="U102" s="44">
        <v>133.14750000000001</v>
      </c>
      <c r="V102" s="47">
        <v>15352.45354507</v>
      </c>
      <c r="W102" s="43">
        <v>0</v>
      </c>
      <c r="X102" s="43">
        <v>0</v>
      </c>
      <c r="Y102" s="48">
        <f t="shared" si="18"/>
        <v>15352.45354507</v>
      </c>
      <c r="Z102" s="49">
        <v>346400</v>
      </c>
      <c r="AA102" s="43">
        <v>342400</v>
      </c>
      <c r="AB102" s="43">
        <v>0</v>
      </c>
      <c r="AC102" s="43">
        <v>0</v>
      </c>
      <c r="AD102" s="43">
        <v>0</v>
      </c>
      <c r="AE102" s="44">
        <v>4000</v>
      </c>
      <c r="AF102" s="47">
        <v>0</v>
      </c>
      <c r="AG102" s="50">
        <v>3510</v>
      </c>
      <c r="AH102" s="49">
        <v>3000</v>
      </c>
      <c r="AI102" s="44">
        <v>468</v>
      </c>
      <c r="AJ102" s="51" t="s">
        <v>228</v>
      </c>
    </row>
    <row r="103" spans="1:36" s="51" customFormat="1" ht="29.25" customHeight="1" x14ac:dyDescent="0.3">
      <c r="A103" s="106">
        <v>93</v>
      </c>
      <c r="B103" s="42" t="s">
        <v>229</v>
      </c>
      <c r="C103" s="102">
        <f t="shared" si="15"/>
        <v>3254474.5428064503</v>
      </c>
      <c r="D103" s="103">
        <f t="shared" si="16"/>
        <v>1022474.5428064503</v>
      </c>
      <c r="E103" s="104">
        <f t="shared" si="17"/>
        <v>713590</v>
      </c>
      <c r="F103" s="43">
        <v>396730</v>
      </c>
      <c r="G103" s="43">
        <v>3730</v>
      </c>
      <c r="H103" s="43">
        <v>313010</v>
      </c>
      <c r="I103" s="44">
        <v>120</v>
      </c>
      <c r="J103" s="105">
        <v>57450</v>
      </c>
      <c r="K103" s="107">
        <v>8640</v>
      </c>
      <c r="L103" s="108">
        <f t="shared" si="19"/>
        <v>48810</v>
      </c>
      <c r="M103" s="45">
        <v>0</v>
      </c>
      <c r="N103" s="46">
        <v>0</v>
      </c>
      <c r="O103" s="45">
        <v>7450</v>
      </c>
      <c r="P103" s="47">
        <v>141660</v>
      </c>
      <c r="Q103" s="43">
        <v>0</v>
      </c>
      <c r="R103" s="43">
        <v>39660</v>
      </c>
      <c r="S103" s="48">
        <f t="shared" si="20"/>
        <v>102000</v>
      </c>
      <c r="T103" s="49">
        <v>24880</v>
      </c>
      <c r="U103" s="44">
        <v>321.85000000000002</v>
      </c>
      <c r="V103" s="47">
        <v>45663.542806449994</v>
      </c>
      <c r="W103" s="43">
        <v>0</v>
      </c>
      <c r="X103" s="43">
        <v>2780</v>
      </c>
      <c r="Y103" s="48">
        <f t="shared" si="18"/>
        <v>42883.542806449994</v>
      </c>
      <c r="Z103" s="49">
        <v>2232000</v>
      </c>
      <c r="AA103" s="43">
        <v>427000</v>
      </c>
      <c r="AB103" s="43">
        <v>0</v>
      </c>
      <c r="AC103" s="43">
        <v>0</v>
      </c>
      <c r="AD103" s="43">
        <v>1801000</v>
      </c>
      <c r="AE103" s="44">
        <v>4000</v>
      </c>
      <c r="AF103" s="47">
        <v>0</v>
      </c>
      <c r="AG103" s="50">
        <v>7471</v>
      </c>
      <c r="AH103" s="49">
        <v>24310</v>
      </c>
      <c r="AI103" s="44">
        <v>780</v>
      </c>
      <c r="AJ103" s="51" t="s">
        <v>230</v>
      </c>
    </row>
    <row r="104" spans="1:36" s="51" customFormat="1" ht="29.25" customHeight="1" x14ac:dyDescent="0.3">
      <c r="A104" s="106">
        <v>94</v>
      </c>
      <c r="B104" s="42" t="s">
        <v>231</v>
      </c>
      <c r="C104" s="102">
        <f t="shared" si="15"/>
        <v>4285689.0791035797</v>
      </c>
      <c r="D104" s="103">
        <f t="shared" si="16"/>
        <v>3974589.0791035797</v>
      </c>
      <c r="E104" s="104">
        <f t="shared" si="17"/>
        <v>2246020</v>
      </c>
      <c r="F104" s="43">
        <v>1247290</v>
      </c>
      <c r="G104" s="43">
        <v>0</v>
      </c>
      <c r="H104" s="43">
        <v>998480</v>
      </c>
      <c r="I104" s="44">
        <v>250</v>
      </c>
      <c r="J104" s="105">
        <v>264770</v>
      </c>
      <c r="K104" s="107">
        <v>100080</v>
      </c>
      <c r="L104" s="108">
        <f t="shared" si="19"/>
        <v>164690</v>
      </c>
      <c r="M104" s="45">
        <v>0</v>
      </c>
      <c r="N104" s="46">
        <v>45</v>
      </c>
      <c r="O104" s="45">
        <v>14500</v>
      </c>
      <c r="P104" s="47">
        <v>1313630</v>
      </c>
      <c r="Q104" s="43">
        <v>0</v>
      </c>
      <c r="R104" s="43">
        <v>975780</v>
      </c>
      <c r="S104" s="48">
        <f t="shared" si="20"/>
        <v>337850</v>
      </c>
      <c r="T104" s="49">
        <v>28730</v>
      </c>
      <c r="U104" s="44">
        <v>210.91499999999999</v>
      </c>
      <c r="V104" s="47">
        <v>43884.079103579999</v>
      </c>
      <c r="W104" s="43">
        <v>0</v>
      </c>
      <c r="X104" s="43">
        <v>1150</v>
      </c>
      <c r="Y104" s="48">
        <f t="shared" si="18"/>
        <v>42734.079103579999</v>
      </c>
      <c r="Z104" s="49">
        <v>311100</v>
      </c>
      <c r="AA104" s="43">
        <v>271100</v>
      </c>
      <c r="AB104" s="43">
        <v>0</v>
      </c>
      <c r="AC104" s="43">
        <v>0</v>
      </c>
      <c r="AD104" s="43">
        <v>30000</v>
      </c>
      <c r="AE104" s="44">
        <v>10000</v>
      </c>
      <c r="AF104" s="47">
        <v>0</v>
      </c>
      <c r="AG104" s="50">
        <v>20000</v>
      </c>
      <c r="AH104" s="49">
        <v>43010</v>
      </c>
      <c r="AI104" s="44">
        <v>1872</v>
      </c>
      <c r="AJ104" s="51" t="s">
        <v>232</v>
      </c>
    </row>
    <row r="105" spans="1:36" s="51" customFormat="1" ht="29.25" customHeight="1" x14ac:dyDescent="0.3">
      <c r="A105" s="106">
        <v>95</v>
      </c>
      <c r="B105" s="42" t="s">
        <v>233</v>
      </c>
      <c r="C105" s="102">
        <f t="shared" si="15"/>
        <v>463902.27351375</v>
      </c>
      <c r="D105" s="103">
        <f t="shared" si="16"/>
        <v>257402.27351375</v>
      </c>
      <c r="E105" s="104">
        <f t="shared" si="17"/>
        <v>114770</v>
      </c>
      <c r="F105" s="43">
        <v>74780</v>
      </c>
      <c r="G105" s="43">
        <v>0</v>
      </c>
      <c r="H105" s="43">
        <v>39990</v>
      </c>
      <c r="I105" s="44">
        <v>0</v>
      </c>
      <c r="J105" s="105">
        <v>48170</v>
      </c>
      <c r="K105" s="107">
        <v>10720</v>
      </c>
      <c r="L105" s="108">
        <f t="shared" si="19"/>
        <v>37450</v>
      </c>
      <c r="M105" s="45">
        <v>800</v>
      </c>
      <c r="N105" s="46">
        <v>25</v>
      </c>
      <c r="O105" s="45">
        <v>2500</v>
      </c>
      <c r="P105" s="47">
        <v>39440</v>
      </c>
      <c r="Q105" s="43">
        <v>0</v>
      </c>
      <c r="R105" s="43">
        <v>0</v>
      </c>
      <c r="S105" s="48">
        <f t="shared" si="20"/>
        <v>39440</v>
      </c>
      <c r="T105" s="49">
        <v>15960</v>
      </c>
      <c r="U105" s="44">
        <v>236.98073500000001</v>
      </c>
      <c r="V105" s="47">
        <v>12237.27351375</v>
      </c>
      <c r="W105" s="43">
        <v>0</v>
      </c>
      <c r="X105" s="43">
        <v>0</v>
      </c>
      <c r="Y105" s="48">
        <f t="shared" si="18"/>
        <v>12237.27351375</v>
      </c>
      <c r="Z105" s="49">
        <v>206500</v>
      </c>
      <c r="AA105" s="43">
        <v>196500</v>
      </c>
      <c r="AB105" s="43">
        <v>0</v>
      </c>
      <c r="AC105" s="43">
        <v>0</v>
      </c>
      <c r="AD105" s="43">
        <v>0</v>
      </c>
      <c r="AE105" s="44">
        <v>10000</v>
      </c>
      <c r="AF105" s="47">
        <v>0</v>
      </c>
      <c r="AG105" s="50">
        <v>20000</v>
      </c>
      <c r="AH105" s="49">
        <v>3500</v>
      </c>
      <c r="AI105" s="44">
        <v>2028</v>
      </c>
      <c r="AJ105" s="51" t="s">
        <v>234</v>
      </c>
    </row>
    <row r="106" spans="1:36" s="51" customFormat="1" ht="29.25" customHeight="1" x14ac:dyDescent="0.3">
      <c r="A106" s="106">
        <v>96</v>
      </c>
      <c r="B106" s="42" t="s">
        <v>235</v>
      </c>
      <c r="C106" s="102">
        <f t="shared" si="15"/>
        <v>302819.51567235996</v>
      </c>
      <c r="D106" s="103">
        <f t="shared" si="16"/>
        <v>196919.51567235996</v>
      </c>
      <c r="E106" s="104">
        <f t="shared" si="17"/>
        <v>97400</v>
      </c>
      <c r="F106" s="43">
        <v>82500</v>
      </c>
      <c r="G106" s="43">
        <v>0</v>
      </c>
      <c r="H106" s="43">
        <v>14900</v>
      </c>
      <c r="I106" s="44">
        <v>0</v>
      </c>
      <c r="J106" s="105">
        <v>30250</v>
      </c>
      <c r="K106" s="107">
        <v>3280</v>
      </c>
      <c r="L106" s="108">
        <f t="shared" si="19"/>
        <v>26970</v>
      </c>
      <c r="M106" s="45">
        <v>0</v>
      </c>
      <c r="N106" s="46">
        <v>0</v>
      </c>
      <c r="O106" s="45">
        <v>2200</v>
      </c>
      <c r="P106" s="47">
        <v>26160</v>
      </c>
      <c r="Q106" s="43">
        <v>0</v>
      </c>
      <c r="R106" s="43">
        <v>40</v>
      </c>
      <c r="S106" s="48">
        <f t="shared" si="20"/>
        <v>26120</v>
      </c>
      <c r="T106" s="49">
        <v>9210</v>
      </c>
      <c r="U106" s="44">
        <v>158.80250000000001</v>
      </c>
      <c r="V106" s="47">
        <v>9089.5156723600012</v>
      </c>
      <c r="W106" s="43">
        <v>0</v>
      </c>
      <c r="X106" s="43">
        <v>0</v>
      </c>
      <c r="Y106" s="48">
        <f t="shared" si="18"/>
        <v>9089.5156723600012</v>
      </c>
      <c r="Z106" s="49">
        <v>105900</v>
      </c>
      <c r="AA106" s="43">
        <v>95900</v>
      </c>
      <c r="AB106" s="43">
        <v>0</v>
      </c>
      <c r="AC106" s="43">
        <v>0</v>
      </c>
      <c r="AD106" s="43">
        <v>0</v>
      </c>
      <c r="AE106" s="44">
        <v>10000</v>
      </c>
      <c r="AF106" s="47">
        <v>0</v>
      </c>
      <c r="AG106" s="50">
        <v>18000</v>
      </c>
      <c r="AH106" s="49">
        <v>4610</v>
      </c>
      <c r="AI106" s="44">
        <v>1092</v>
      </c>
      <c r="AJ106" s="51" t="s">
        <v>236</v>
      </c>
    </row>
    <row r="107" spans="1:36" s="51" customFormat="1" ht="29.25" customHeight="1" x14ac:dyDescent="0.3">
      <c r="A107" s="106">
        <v>97</v>
      </c>
      <c r="B107" s="42" t="s">
        <v>237</v>
      </c>
      <c r="C107" s="102">
        <f t="shared" si="15"/>
        <v>2227549.9902448002</v>
      </c>
      <c r="D107" s="103">
        <f t="shared" si="16"/>
        <v>580249.99024480022</v>
      </c>
      <c r="E107" s="104">
        <f t="shared" si="17"/>
        <v>349180</v>
      </c>
      <c r="F107" s="43">
        <v>224420</v>
      </c>
      <c r="G107" s="43">
        <v>0</v>
      </c>
      <c r="H107" s="43">
        <v>124760</v>
      </c>
      <c r="I107" s="44">
        <v>0</v>
      </c>
      <c r="J107" s="105">
        <v>78370</v>
      </c>
      <c r="K107" s="107">
        <v>6660</v>
      </c>
      <c r="L107" s="108">
        <f t="shared" si="19"/>
        <v>71710</v>
      </c>
      <c r="M107" s="45">
        <v>0</v>
      </c>
      <c r="N107" s="46">
        <v>0</v>
      </c>
      <c r="O107" s="45">
        <v>6800</v>
      </c>
      <c r="P107" s="47">
        <v>52860</v>
      </c>
      <c r="Q107" s="43">
        <v>0</v>
      </c>
      <c r="R107" s="43">
        <v>9770</v>
      </c>
      <c r="S107" s="48">
        <f t="shared" si="20"/>
        <v>43090</v>
      </c>
      <c r="T107" s="49">
        <v>15860</v>
      </c>
      <c r="U107" s="44">
        <v>408.59500000000003</v>
      </c>
      <c r="V107" s="47">
        <v>47559.990244799992</v>
      </c>
      <c r="W107" s="43">
        <v>0</v>
      </c>
      <c r="X107" s="43">
        <v>180</v>
      </c>
      <c r="Y107" s="48">
        <f t="shared" si="18"/>
        <v>47379.990244799992</v>
      </c>
      <c r="Z107" s="49">
        <v>1647300</v>
      </c>
      <c r="AA107" s="43">
        <v>316300</v>
      </c>
      <c r="AB107" s="43">
        <v>0</v>
      </c>
      <c r="AC107" s="43">
        <v>0</v>
      </c>
      <c r="AD107" s="43">
        <v>1321000</v>
      </c>
      <c r="AE107" s="44">
        <v>10000</v>
      </c>
      <c r="AF107" s="47">
        <v>0</v>
      </c>
      <c r="AG107" s="50">
        <v>20000</v>
      </c>
      <c r="AH107" s="49">
        <v>9620</v>
      </c>
      <c r="AI107" s="44">
        <v>2496</v>
      </c>
      <c r="AJ107" s="51" t="s">
        <v>238</v>
      </c>
    </row>
    <row r="108" spans="1:36" s="51" customFormat="1" ht="29.25" customHeight="1" x14ac:dyDescent="0.3">
      <c r="A108" s="106">
        <v>98</v>
      </c>
      <c r="B108" s="42" t="s">
        <v>239</v>
      </c>
      <c r="C108" s="102">
        <f t="shared" si="15"/>
        <v>895841.92807458993</v>
      </c>
      <c r="D108" s="103">
        <f t="shared" si="16"/>
        <v>765641.92807458993</v>
      </c>
      <c r="E108" s="104">
        <f t="shared" si="17"/>
        <v>190180</v>
      </c>
      <c r="F108" s="43">
        <v>73190</v>
      </c>
      <c r="G108" s="43">
        <v>108620</v>
      </c>
      <c r="H108" s="43">
        <v>8040</v>
      </c>
      <c r="I108" s="44">
        <v>330</v>
      </c>
      <c r="J108" s="105">
        <v>31490</v>
      </c>
      <c r="K108" s="107">
        <v>11870</v>
      </c>
      <c r="L108" s="108">
        <f t="shared" si="19"/>
        <v>19620</v>
      </c>
      <c r="M108" s="45">
        <v>0</v>
      </c>
      <c r="N108" s="46">
        <v>0</v>
      </c>
      <c r="O108" s="45">
        <v>2100</v>
      </c>
      <c r="P108" s="47">
        <v>21000</v>
      </c>
      <c r="Q108" s="43">
        <v>0</v>
      </c>
      <c r="R108" s="43">
        <v>0</v>
      </c>
      <c r="S108" s="48">
        <f t="shared" si="20"/>
        <v>21000</v>
      </c>
      <c r="T108" s="49">
        <v>9720</v>
      </c>
      <c r="U108" s="44">
        <v>70.357500000000002</v>
      </c>
      <c r="V108" s="47">
        <v>501456.92807458999</v>
      </c>
      <c r="W108" s="43">
        <v>500000</v>
      </c>
      <c r="X108" s="43">
        <v>0</v>
      </c>
      <c r="Y108" s="48">
        <f t="shared" si="18"/>
        <v>1456.9280745899887</v>
      </c>
      <c r="Z108" s="49">
        <v>130200</v>
      </c>
      <c r="AA108" s="43">
        <v>125200</v>
      </c>
      <c r="AB108" s="43">
        <v>0</v>
      </c>
      <c r="AC108" s="43">
        <v>0</v>
      </c>
      <c r="AD108" s="43">
        <v>0</v>
      </c>
      <c r="AE108" s="44">
        <v>5000</v>
      </c>
      <c r="AF108" s="47">
        <v>0</v>
      </c>
      <c r="AG108" s="50">
        <v>3875</v>
      </c>
      <c r="AH108" s="49">
        <v>5820</v>
      </c>
      <c r="AI108" s="44">
        <v>624</v>
      </c>
      <c r="AJ108" s="51" t="s">
        <v>240</v>
      </c>
    </row>
    <row r="109" spans="1:36" s="51" customFormat="1" ht="29.25" customHeight="1" x14ac:dyDescent="0.3">
      <c r="A109" s="106">
        <v>99</v>
      </c>
      <c r="B109" s="42" t="s">
        <v>241</v>
      </c>
      <c r="C109" s="102">
        <f t="shared" si="15"/>
        <v>268485.27584151004</v>
      </c>
      <c r="D109" s="103">
        <f t="shared" si="16"/>
        <v>235285.27584151004</v>
      </c>
      <c r="E109" s="104">
        <f t="shared" si="17"/>
        <v>122030</v>
      </c>
      <c r="F109" s="43">
        <v>82630</v>
      </c>
      <c r="G109" s="43">
        <v>3270</v>
      </c>
      <c r="H109" s="43">
        <v>35910</v>
      </c>
      <c r="I109" s="44">
        <v>220</v>
      </c>
      <c r="J109" s="105">
        <v>46970</v>
      </c>
      <c r="K109" s="107">
        <v>6300</v>
      </c>
      <c r="L109" s="108">
        <f t="shared" si="19"/>
        <v>40670</v>
      </c>
      <c r="M109" s="45">
        <v>0</v>
      </c>
      <c r="N109" s="46">
        <v>0</v>
      </c>
      <c r="O109" s="45">
        <v>6300</v>
      </c>
      <c r="P109" s="47">
        <v>22050</v>
      </c>
      <c r="Q109" s="43">
        <v>0</v>
      </c>
      <c r="R109" s="43">
        <v>50</v>
      </c>
      <c r="S109" s="48">
        <f t="shared" si="20"/>
        <v>22000</v>
      </c>
      <c r="T109" s="49">
        <v>12200</v>
      </c>
      <c r="U109" s="44">
        <v>136.64750000000001</v>
      </c>
      <c r="V109" s="47">
        <v>19735.27584151</v>
      </c>
      <c r="W109" s="43">
        <v>0</v>
      </c>
      <c r="X109" s="43">
        <v>1270</v>
      </c>
      <c r="Y109" s="48">
        <f t="shared" si="18"/>
        <v>18465.27584151</v>
      </c>
      <c r="Z109" s="49">
        <v>33200</v>
      </c>
      <c r="AA109" s="43">
        <v>31200</v>
      </c>
      <c r="AB109" s="43">
        <v>0</v>
      </c>
      <c r="AC109" s="43">
        <v>0</v>
      </c>
      <c r="AD109" s="43">
        <v>0</v>
      </c>
      <c r="AE109" s="44">
        <v>2000</v>
      </c>
      <c r="AF109" s="47">
        <v>0</v>
      </c>
      <c r="AG109" s="50">
        <v>3000</v>
      </c>
      <c r="AH109" s="49">
        <v>3000</v>
      </c>
      <c r="AI109" s="44">
        <v>780</v>
      </c>
      <c r="AJ109" s="51" t="s">
        <v>242</v>
      </c>
    </row>
    <row r="110" spans="1:36" s="51" customFormat="1" ht="29.25" customHeight="1" x14ac:dyDescent="0.3">
      <c r="A110" s="106">
        <v>100</v>
      </c>
      <c r="B110" s="42" t="s">
        <v>243</v>
      </c>
      <c r="C110" s="102">
        <f t="shared" si="15"/>
        <v>421451.88688886998</v>
      </c>
      <c r="D110" s="103">
        <f t="shared" si="16"/>
        <v>67251.88688886998</v>
      </c>
      <c r="E110" s="104">
        <f t="shared" si="17"/>
        <v>31640</v>
      </c>
      <c r="F110" s="43">
        <v>24340</v>
      </c>
      <c r="G110" s="43">
        <v>0</v>
      </c>
      <c r="H110" s="43">
        <v>7300</v>
      </c>
      <c r="I110" s="44">
        <v>0</v>
      </c>
      <c r="J110" s="105">
        <v>19130</v>
      </c>
      <c r="K110" s="107">
        <v>3130</v>
      </c>
      <c r="L110" s="108">
        <f t="shared" si="19"/>
        <v>16000</v>
      </c>
      <c r="M110" s="45">
        <v>0</v>
      </c>
      <c r="N110" s="46">
        <v>0</v>
      </c>
      <c r="O110" s="45">
        <v>1100</v>
      </c>
      <c r="P110" s="47">
        <v>4500</v>
      </c>
      <c r="Q110" s="43">
        <v>0</v>
      </c>
      <c r="R110" s="43">
        <v>0</v>
      </c>
      <c r="S110" s="48">
        <f t="shared" si="20"/>
        <v>4500</v>
      </c>
      <c r="T110" s="49">
        <v>5220</v>
      </c>
      <c r="U110" s="44">
        <v>80.66</v>
      </c>
      <c r="V110" s="47">
        <v>961.88688887000001</v>
      </c>
      <c r="W110" s="43">
        <v>0</v>
      </c>
      <c r="X110" s="43">
        <v>0</v>
      </c>
      <c r="Y110" s="48">
        <f t="shared" si="18"/>
        <v>961.88688887000001</v>
      </c>
      <c r="Z110" s="49">
        <v>354200</v>
      </c>
      <c r="AA110" s="43">
        <v>92200</v>
      </c>
      <c r="AB110" s="43">
        <v>260000</v>
      </c>
      <c r="AC110" s="43">
        <v>0</v>
      </c>
      <c r="AD110" s="43">
        <v>0</v>
      </c>
      <c r="AE110" s="44">
        <v>2000</v>
      </c>
      <c r="AF110" s="47">
        <v>0</v>
      </c>
      <c r="AG110" s="50">
        <v>2700</v>
      </c>
      <c r="AH110" s="49">
        <v>2000</v>
      </c>
      <c r="AI110" s="44">
        <v>468</v>
      </c>
      <c r="AJ110" s="51" t="s">
        <v>244</v>
      </c>
    </row>
    <row r="111" spans="1:36" s="51" customFormat="1" ht="29.25" customHeight="1" x14ac:dyDescent="0.3">
      <c r="A111" s="106">
        <v>101</v>
      </c>
      <c r="B111" s="42" t="s">
        <v>245</v>
      </c>
      <c r="C111" s="102">
        <f t="shared" si="15"/>
        <v>306691.52623069001</v>
      </c>
      <c r="D111" s="103">
        <f t="shared" si="16"/>
        <v>106991.52623069001</v>
      </c>
      <c r="E111" s="104">
        <f t="shared" si="17"/>
        <v>51220</v>
      </c>
      <c r="F111" s="43">
        <v>45270</v>
      </c>
      <c r="G111" s="43">
        <v>0</v>
      </c>
      <c r="H111" s="43">
        <v>5950</v>
      </c>
      <c r="I111" s="44">
        <v>0</v>
      </c>
      <c r="J111" s="105">
        <v>26020</v>
      </c>
      <c r="K111" s="107">
        <v>3400</v>
      </c>
      <c r="L111" s="108">
        <f t="shared" si="19"/>
        <v>22620</v>
      </c>
      <c r="M111" s="45">
        <v>0</v>
      </c>
      <c r="N111" s="46">
        <v>0</v>
      </c>
      <c r="O111" s="45">
        <v>1600</v>
      </c>
      <c r="P111" s="47">
        <v>14000</v>
      </c>
      <c r="Q111" s="43">
        <v>0</v>
      </c>
      <c r="R111" s="43">
        <v>0</v>
      </c>
      <c r="S111" s="48">
        <f t="shared" si="20"/>
        <v>14000</v>
      </c>
      <c r="T111" s="49">
        <v>5320</v>
      </c>
      <c r="U111" s="44">
        <v>271.10725000000002</v>
      </c>
      <c r="V111" s="47">
        <v>663.02623069000003</v>
      </c>
      <c r="W111" s="43">
        <v>0</v>
      </c>
      <c r="X111" s="43">
        <v>0</v>
      </c>
      <c r="Y111" s="48">
        <f t="shared" si="18"/>
        <v>663.02623069000003</v>
      </c>
      <c r="Z111" s="49">
        <v>199700</v>
      </c>
      <c r="AA111" s="43">
        <v>197700</v>
      </c>
      <c r="AB111" s="43">
        <v>0</v>
      </c>
      <c r="AC111" s="43">
        <v>0</v>
      </c>
      <c r="AD111" s="43">
        <v>0</v>
      </c>
      <c r="AE111" s="44">
        <v>2000</v>
      </c>
      <c r="AF111" s="47">
        <v>0</v>
      </c>
      <c r="AG111" s="50">
        <v>4448.5</v>
      </c>
      <c r="AH111" s="49">
        <v>3720</v>
      </c>
      <c r="AI111" s="44">
        <v>780</v>
      </c>
      <c r="AJ111" s="51" t="s">
        <v>246</v>
      </c>
    </row>
    <row r="112" spans="1:36" s="51" customFormat="1" ht="29.25" customHeight="1" x14ac:dyDescent="0.3">
      <c r="A112" s="106">
        <v>102</v>
      </c>
      <c r="B112" s="42" t="s">
        <v>247</v>
      </c>
      <c r="C112" s="102">
        <f t="shared" si="15"/>
        <v>854570.68507289002</v>
      </c>
      <c r="D112" s="103">
        <f t="shared" si="16"/>
        <v>543370.68507289002</v>
      </c>
      <c r="E112" s="104">
        <f t="shared" si="17"/>
        <v>304860</v>
      </c>
      <c r="F112" s="43">
        <v>195190</v>
      </c>
      <c r="G112" s="43">
        <v>16000</v>
      </c>
      <c r="H112" s="43">
        <v>92380</v>
      </c>
      <c r="I112" s="44">
        <v>1290</v>
      </c>
      <c r="J112" s="105">
        <v>36750</v>
      </c>
      <c r="K112" s="107">
        <v>4330</v>
      </c>
      <c r="L112" s="108">
        <f t="shared" si="19"/>
        <v>32420</v>
      </c>
      <c r="M112" s="45">
        <v>0</v>
      </c>
      <c r="N112" s="46">
        <v>0</v>
      </c>
      <c r="O112" s="45">
        <v>2550</v>
      </c>
      <c r="P112" s="47">
        <v>48150</v>
      </c>
      <c r="Q112" s="43">
        <v>0</v>
      </c>
      <c r="R112" s="43">
        <v>2380</v>
      </c>
      <c r="S112" s="48">
        <f t="shared" si="20"/>
        <v>45770</v>
      </c>
      <c r="T112" s="49">
        <v>8390</v>
      </c>
      <c r="U112" s="44">
        <v>280.93025</v>
      </c>
      <c r="V112" s="47">
        <v>118380.68507289</v>
      </c>
      <c r="W112" s="43">
        <v>100000</v>
      </c>
      <c r="X112" s="43">
        <v>1420</v>
      </c>
      <c r="Y112" s="48">
        <f t="shared" si="18"/>
        <v>16960.685072890003</v>
      </c>
      <c r="Z112" s="49">
        <v>311200</v>
      </c>
      <c r="AA112" s="43">
        <v>307200</v>
      </c>
      <c r="AB112" s="43">
        <v>0</v>
      </c>
      <c r="AC112" s="43">
        <v>0</v>
      </c>
      <c r="AD112" s="43">
        <v>0</v>
      </c>
      <c r="AE112" s="44">
        <v>4000</v>
      </c>
      <c r="AF112" s="47">
        <v>0</v>
      </c>
      <c r="AG112" s="50">
        <v>4650</v>
      </c>
      <c r="AH112" s="49">
        <v>19640</v>
      </c>
      <c r="AI112" s="44">
        <v>1560</v>
      </c>
      <c r="AJ112" s="51" t="s">
        <v>248</v>
      </c>
    </row>
    <row r="113" spans="1:36" s="51" customFormat="1" ht="29.25" customHeight="1" x14ac:dyDescent="0.3">
      <c r="A113" s="106">
        <v>103</v>
      </c>
      <c r="B113" s="42" t="s">
        <v>249</v>
      </c>
      <c r="C113" s="102">
        <f t="shared" si="15"/>
        <v>870673.54584087001</v>
      </c>
      <c r="D113" s="103">
        <f t="shared" si="16"/>
        <v>653473.54584087001</v>
      </c>
      <c r="E113" s="104">
        <f t="shared" si="17"/>
        <v>148700</v>
      </c>
      <c r="F113" s="43">
        <v>104530</v>
      </c>
      <c r="G113" s="43">
        <v>0</v>
      </c>
      <c r="H113" s="43">
        <v>43920</v>
      </c>
      <c r="I113" s="44">
        <v>250</v>
      </c>
      <c r="J113" s="105">
        <v>48370</v>
      </c>
      <c r="K113" s="107">
        <v>14420</v>
      </c>
      <c r="L113" s="108">
        <f t="shared" si="19"/>
        <v>33950</v>
      </c>
      <c r="M113" s="45">
        <v>0</v>
      </c>
      <c r="N113" s="46">
        <v>0</v>
      </c>
      <c r="O113" s="45">
        <v>6100</v>
      </c>
      <c r="P113" s="47">
        <v>407060</v>
      </c>
      <c r="Q113" s="43">
        <v>0</v>
      </c>
      <c r="R113" s="43">
        <v>580</v>
      </c>
      <c r="S113" s="48">
        <f t="shared" si="20"/>
        <v>406480</v>
      </c>
      <c r="T113" s="49">
        <v>13000</v>
      </c>
      <c r="U113" s="44">
        <v>392.02424999999999</v>
      </c>
      <c r="V113" s="47">
        <v>14058.04584087</v>
      </c>
      <c r="W113" s="43">
        <v>0</v>
      </c>
      <c r="X113" s="43">
        <v>0</v>
      </c>
      <c r="Y113" s="48">
        <f t="shared" si="18"/>
        <v>14058.04584087</v>
      </c>
      <c r="Z113" s="49">
        <v>217200</v>
      </c>
      <c r="AA113" s="43">
        <v>212200</v>
      </c>
      <c r="AB113" s="43">
        <v>0</v>
      </c>
      <c r="AC113" s="43">
        <v>0</v>
      </c>
      <c r="AD113" s="43">
        <v>0</v>
      </c>
      <c r="AE113" s="44">
        <v>5000</v>
      </c>
      <c r="AF113" s="47">
        <v>0</v>
      </c>
      <c r="AG113" s="50">
        <v>4975.5</v>
      </c>
      <c r="AH113" s="49">
        <v>11210</v>
      </c>
      <c r="AI113" s="44">
        <v>1560</v>
      </c>
      <c r="AJ113" s="51" t="s">
        <v>250</v>
      </c>
    </row>
    <row r="114" spans="1:36" s="51" customFormat="1" ht="29.25" customHeight="1" x14ac:dyDescent="0.3">
      <c r="A114" s="106">
        <v>104</v>
      </c>
      <c r="B114" s="42" t="s">
        <v>251</v>
      </c>
      <c r="C114" s="102">
        <f t="shared" si="15"/>
        <v>326469.29363584</v>
      </c>
      <c r="D114" s="103">
        <f t="shared" si="16"/>
        <v>91869.293635840004</v>
      </c>
      <c r="E114" s="104">
        <f t="shared" si="17"/>
        <v>37390</v>
      </c>
      <c r="F114" s="43">
        <v>32150</v>
      </c>
      <c r="G114" s="43">
        <v>0</v>
      </c>
      <c r="H114" s="43">
        <v>5240</v>
      </c>
      <c r="I114" s="44">
        <v>0</v>
      </c>
      <c r="J114" s="105">
        <v>19010</v>
      </c>
      <c r="K114" s="107">
        <v>3110</v>
      </c>
      <c r="L114" s="108">
        <f t="shared" si="19"/>
        <v>15900</v>
      </c>
      <c r="M114" s="45">
        <v>0</v>
      </c>
      <c r="N114" s="46">
        <v>0</v>
      </c>
      <c r="O114" s="45">
        <v>1500</v>
      </c>
      <c r="P114" s="47">
        <v>15820</v>
      </c>
      <c r="Q114" s="43">
        <v>0</v>
      </c>
      <c r="R114" s="43">
        <v>10</v>
      </c>
      <c r="S114" s="48">
        <f t="shared" si="20"/>
        <v>15810</v>
      </c>
      <c r="T114" s="49">
        <v>4200</v>
      </c>
      <c r="U114" s="44">
        <v>165.26</v>
      </c>
      <c r="V114" s="47">
        <v>3237.2936358400002</v>
      </c>
      <c r="W114" s="43">
        <v>0</v>
      </c>
      <c r="X114" s="43">
        <v>0</v>
      </c>
      <c r="Y114" s="48">
        <f t="shared" si="18"/>
        <v>3237.2936358400002</v>
      </c>
      <c r="Z114" s="49">
        <v>234600</v>
      </c>
      <c r="AA114" s="43">
        <v>230600</v>
      </c>
      <c r="AB114" s="43">
        <v>0</v>
      </c>
      <c r="AC114" s="43">
        <v>0</v>
      </c>
      <c r="AD114" s="43">
        <v>0</v>
      </c>
      <c r="AE114" s="44">
        <v>4000</v>
      </c>
      <c r="AF114" s="47">
        <v>0</v>
      </c>
      <c r="AG114" s="50">
        <v>7812</v>
      </c>
      <c r="AH114" s="49">
        <v>2900</v>
      </c>
      <c r="AI114" s="44">
        <v>624</v>
      </c>
      <c r="AJ114" s="51" t="s">
        <v>252</v>
      </c>
    </row>
    <row r="115" spans="1:36" s="51" customFormat="1" ht="29.25" customHeight="1" x14ac:dyDescent="0.3">
      <c r="A115" s="106">
        <v>105</v>
      </c>
      <c r="B115" s="42" t="s">
        <v>253</v>
      </c>
      <c r="C115" s="102">
        <f t="shared" si="15"/>
        <v>373745.18850349</v>
      </c>
      <c r="D115" s="103">
        <f t="shared" si="16"/>
        <v>224245.18850349</v>
      </c>
      <c r="E115" s="104">
        <f t="shared" si="17"/>
        <v>137510</v>
      </c>
      <c r="F115" s="43">
        <v>116030</v>
      </c>
      <c r="G115" s="43">
        <v>0</v>
      </c>
      <c r="H115" s="43">
        <v>21420</v>
      </c>
      <c r="I115" s="44">
        <v>60</v>
      </c>
      <c r="J115" s="105">
        <v>29760</v>
      </c>
      <c r="K115" s="107">
        <v>2450</v>
      </c>
      <c r="L115" s="108">
        <f t="shared" si="19"/>
        <v>27310</v>
      </c>
      <c r="M115" s="45">
        <v>0</v>
      </c>
      <c r="N115" s="46">
        <v>0</v>
      </c>
      <c r="O115" s="45">
        <v>2500</v>
      </c>
      <c r="P115" s="47">
        <v>19760</v>
      </c>
      <c r="Q115" s="43">
        <v>0</v>
      </c>
      <c r="R115" s="43">
        <v>930</v>
      </c>
      <c r="S115" s="48">
        <f t="shared" si="20"/>
        <v>18830</v>
      </c>
      <c r="T115" s="49">
        <v>10050</v>
      </c>
      <c r="U115" s="44">
        <v>84.05</v>
      </c>
      <c r="V115" s="47">
        <v>12815.188503490001</v>
      </c>
      <c r="W115" s="43">
        <v>0</v>
      </c>
      <c r="X115" s="43">
        <v>3390</v>
      </c>
      <c r="Y115" s="48">
        <f t="shared" si="18"/>
        <v>9425.1885034900006</v>
      </c>
      <c r="Z115" s="49">
        <v>149500</v>
      </c>
      <c r="AA115" s="43">
        <v>147500</v>
      </c>
      <c r="AB115" s="43">
        <v>0</v>
      </c>
      <c r="AC115" s="43">
        <v>0</v>
      </c>
      <c r="AD115" s="43">
        <v>0</v>
      </c>
      <c r="AE115" s="44">
        <v>2000</v>
      </c>
      <c r="AF115" s="47">
        <v>0</v>
      </c>
      <c r="AG115" s="50">
        <v>8750</v>
      </c>
      <c r="AH115" s="49">
        <v>3100</v>
      </c>
      <c r="AI115" s="44">
        <v>1404</v>
      </c>
      <c r="AJ115" s="51" t="s">
        <v>254</v>
      </c>
    </row>
    <row r="116" spans="1:36" s="51" customFormat="1" ht="29.25" customHeight="1" x14ac:dyDescent="0.3">
      <c r="A116" s="106">
        <v>106</v>
      </c>
      <c r="B116" s="42" t="s">
        <v>255</v>
      </c>
      <c r="C116" s="102">
        <f t="shared" si="15"/>
        <v>319060.26521877002</v>
      </c>
      <c r="D116" s="103">
        <f t="shared" si="16"/>
        <v>173960.26521877002</v>
      </c>
      <c r="E116" s="104">
        <f t="shared" si="17"/>
        <v>78180</v>
      </c>
      <c r="F116" s="43">
        <v>61270</v>
      </c>
      <c r="G116" s="43">
        <v>10</v>
      </c>
      <c r="H116" s="43">
        <v>16900</v>
      </c>
      <c r="I116" s="44">
        <v>0</v>
      </c>
      <c r="J116" s="105">
        <v>36340</v>
      </c>
      <c r="K116" s="107">
        <v>6780</v>
      </c>
      <c r="L116" s="108">
        <f t="shared" si="19"/>
        <v>29560</v>
      </c>
      <c r="M116" s="45">
        <v>0</v>
      </c>
      <c r="N116" s="46">
        <v>0</v>
      </c>
      <c r="O116" s="45">
        <v>3300</v>
      </c>
      <c r="P116" s="47">
        <v>23010</v>
      </c>
      <c r="Q116" s="43">
        <v>0</v>
      </c>
      <c r="R116" s="43">
        <v>100</v>
      </c>
      <c r="S116" s="48">
        <f t="shared" si="20"/>
        <v>22910</v>
      </c>
      <c r="T116" s="49">
        <v>7370</v>
      </c>
      <c r="U116" s="44">
        <v>0</v>
      </c>
      <c r="V116" s="47">
        <v>11480.265218770001</v>
      </c>
      <c r="W116" s="43">
        <v>0</v>
      </c>
      <c r="X116" s="43">
        <v>1490</v>
      </c>
      <c r="Y116" s="48">
        <f t="shared" si="18"/>
        <v>9990.2652187700005</v>
      </c>
      <c r="Z116" s="49">
        <v>145100</v>
      </c>
      <c r="AA116" s="43">
        <v>143100</v>
      </c>
      <c r="AB116" s="43">
        <v>0</v>
      </c>
      <c r="AC116" s="43">
        <v>0</v>
      </c>
      <c r="AD116" s="43">
        <v>0</v>
      </c>
      <c r="AE116" s="44">
        <v>2000</v>
      </c>
      <c r="AF116" s="47">
        <v>0</v>
      </c>
      <c r="AG116" s="50">
        <v>9800</v>
      </c>
      <c r="AH116" s="49">
        <v>4480</v>
      </c>
      <c r="AI116" s="44">
        <v>2340</v>
      </c>
      <c r="AJ116" s="51" t="s">
        <v>256</v>
      </c>
    </row>
    <row r="117" spans="1:36" s="51" customFormat="1" ht="29.25" customHeight="1" x14ac:dyDescent="0.3">
      <c r="A117" s="106">
        <v>107</v>
      </c>
      <c r="B117" s="42" t="s">
        <v>257</v>
      </c>
      <c r="C117" s="102">
        <f t="shared" si="15"/>
        <v>62753.950984529998</v>
      </c>
      <c r="D117" s="103">
        <f t="shared" si="16"/>
        <v>60753.950984529998</v>
      </c>
      <c r="E117" s="104">
        <f t="shared" si="17"/>
        <v>21840</v>
      </c>
      <c r="F117" s="43">
        <v>18150</v>
      </c>
      <c r="G117" s="43">
        <v>0</v>
      </c>
      <c r="H117" s="43">
        <v>3680</v>
      </c>
      <c r="I117" s="44">
        <v>10</v>
      </c>
      <c r="J117" s="105">
        <v>14350</v>
      </c>
      <c r="K117" s="107">
        <v>2630</v>
      </c>
      <c r="L117" s="108">
        <f t="shared" si="19"/>
        <v>11720</v>
      </c>
      <c r="M117" s="45">
        <v>0</v>
      </c>
      <c r="N117" s="46">
        <v>0</v>
      </c>
      <c r="O117" s="45">
        <v>850</v>
      </c>
      <c r="P117" s="47">
        <v>3400</v>
      </c>
      <c r="Q117" s="43">
        <v>0</v>
      </c>
      <c r="R117" s="43">
        <v>0</v>
      </c>
      <c r="S117" s="48">
        <f t="shared" si="20"/>
        <v>3400</v>
      </c>
      <c r="T117" s="49">
        <v>4050</v>
      </c>
      <c r="U117" s="44">
        <v>135</v>
      </c>
      <c r="V117" s="47">
        <v>983.95098453000003</v>
      </c>
      <c r="W117" s="43">
        <v>0</v>
      </c>
      <c r="X117" s="43">
        <v>0</v>
      </c>
      <c r="Y117" s="48">
        <f t="shared" si="18"/>
        <v>983.95098453000003</v>
      </c>
      <c r="Z117" s="49">
        <v>2000</v>
      </c>
      <c r="AA117" s="43">
        <v>0</v>
      </c>
      <c r="AB117" s="43">
        <v>0</v>
      </c>
      <c r="AC117" s="43">
        <v>0</v>
      </c>
      <c r="AD117" s="43">
        <v>0</v>
      </c>
      <c r="AE117" s="44">
        <v>2000</v>
      </c>
      <c r="AF117" s="47">
        <v>0</v>
      </c>
      <c r="AG117" s="50">
        <v>12900</v>
      </c>
      <c r="AH117" s="49">
        <v>2380</v>
      </c>
      <c r="AI117" s="44">
        <v>468</v>
      </c>
      <c r="AJ117" s="51" t="s">
        <v>258</v>
      </c>
    </row>
    <row r="118" spans="1:36" s="51" customFormat="1" ht="29.25" customHeight="1" x14ac:dyDescent="0.3">
      <c r="A118" s="106">
        <v>108</v>
      </c>
      <c r="B118" s="42" t="s">
        <v>259</v>
      </c>
      <c r="C118" s="102">
        <f t="shared" si="15"/>
        <v>42605.156334319996</v>
      </c>
      <c r="D118" s="103">
        <f t="shared" si="16"/>
        <v>40605.156334319996</v>
      </c>
      <c r="E118" s="104">
        <f t="shared" si="17"/>
        <v>10840</v>
      </c>
      <c r="F118" s="43">
        <v>9100</v>
      </c>
      <c r="G118" s="43">
        <v>0</v>
      </c>
      <c r="H118" s="43">
        <v>1730</v>
      </c>
      <c r="I118" s="44">
        <v>10</v>
      </c>
      <c r="J118" s="105">
        <v>12690</v>
      </c>
      <c r="K118" s="107">
        <v>590</v>
      </c>
      <c r="L118" s="108">
        <f t="shared" si="19"/>
        <v>12100</v>
      </c>
      <c r="M118" s="45">
        <v>0</v>
      </c>
      <c r="N118" s="46">
        <v>0</v>
      </c>
      <c r="O118" s="45">
        <v>450</v>
      </c>
      <c r="P118" s="47">
        <v>2100</v>
      </c>
      <c r="Q118" s="43">
        <v>0</v>
      </c>
      <c r="R118" s="43">
        <v>0</v>
      </c>
      <c r="S118" s="48">
        <f t="shared" si="20"/>
        <v>2100</v>
      </c>
      <c r="T118" s="49">
        <v>2970</v>
      </c>
      <c r="U118" s="44">
        <v>108.4</v>
      </c>
      <c r="V118" s="47">
        <v>205.15633431999998</v>
      </c>
      <c r="W118" s="43">
        <v>0</v>
      </c>
      <c r="X118" s="43">
        <v>0</v>
      </c>
      <c r="Y118" s="48">
        <f t="shared" si="18"/>
        <v>205.15633431999998</v>
      </c>
      <c r="Z118" s="49">
        <v>2000</v>
      </c>
      <c r="AA118" s="43">
        <v>0</v>
      </c>
      <c r="AB118" s="43">
        <v>0</v>
      </c>
      <c r="AC118" s="43">
        <v>0</v>
      </c>
      <c r="AD118" s="43">
        <v>0</v>
      </c>
      <c r="AE118" s="44">
        <v>2000</v>
      </c>
      <c r="AF118" s="47">
        <v>0</v>
      </c>
      <c r="AG118" s="50">
        <v>11000</v>
      </c>
      <c r="AH118" s="49">
        <v>350</v>
      </c>
      <c r="AI118" s="44">
        <v>312</v>
      </c>
      <c r="AJ118" s="51" t="s">
        <v>260</v>
      </c>
    </row>
    <row r="119" spans="1:36" s="51" customFormat="1" ht="29.25" customHeight="1" x14ac:dyDescent="0.3">
      <c r="A119" s="106">
        <v>109</v>
      </c>
      <c r="B119" s="42" t="s">
        <v>261</v>
      </c>
      <c r="C119" s="102">
        <f t="shared" si="15"/>
        <v>88357.050735590004</v>
      </c>
      <c r="D119" s="103">
        <f t="shared" si="16"/>
        <v>78157.050735590004</v>
      </c>
      <c r="E119" s="104">
        <f t="shared" si="17"/>
        <v>30030</v>
      </c>
      <c r="F119" s="43">
        <v>25800</v>
      </c>
      <c r="G119" s="43">
        <v>30</v>
      </c>
      <c r="H119" s="43">
        <v>4200</v>
      </c>
      <c r="I119" s="44">
        <v>0</v>
      </c>
      <c r="J119" s="105">
        <v>18500</v>
      </c>
      <c r="K119" s="107">
        <v>1360</v>
      </c>
      <c r="L119" s="108">
        <f t="shared" si="19"/>
        <v>17140</v>
      </c>
      <c r="M119" s="45">
        <v>0</v>
      </c>
      <c r="N119" s="46">
        <v>0</v>
      </c>
      <c r="O119" s="45">
        <v>950</v>
      </c>
      <c r="P119" s="47">
        <v>11890</v>
      </c>
      <c r="Q119" s="43">
        <v>0</v>
      </c>
      <c r="R119" s="43">
        <v>0</v>
      </c>
      <c r="S119" s="48">
        <f t="shared" si="20"/>
        <v>11890</v>
      </c>
      <c r="T119" s="49">
        <v>6290</v>
      </c>
      <c r="U119" s="44">
        <v>247.92758000000001</v>
      </c>
      <c r="V119" s="47">
        <v>127.05073559</v>
      </c>
      <c r="W119" s="43">
        <v>0</v>
      </c>
      <c r="X119" s="43">
        <v>0</v>
      </c>
      <c r="Y119" s="48">
        <f t="shared" si="18"/>
        <v>127.05073559</v>
      </c>
      <c r="Z119" s="49">
        <v>10200</v>
      </c>
      <c r="AA119" s="43">
        <v>8200</v>
      </c>
      <c r="AB119" s="43">
        <v>0</v>
      </c>
      <c r="AC119" s="43">
        <v>0</v>
      </c>
      <c r="AD119" s="43">
        <v>0</v>
      </c>
      <c r="AE119" s="44">
        <v>2000</v>
      </c>
      <c r="AF119" s="47">
        <v>0</v>
      </c>
      <c r="AG119" s="50">
        <v>9100</v>
      </c>
      <c r="AH119" s="49">
        <v>1270</v>
      </c>
      <c r="AI119" s="44">
        <v>468</v>
      </c>
      <c r="AJ119" s="51" t="s">
        <v>262</v>
      </c>
    </row>
    <row r="120" spans="1:36" s="51" customFormat="1" ht="29.25" customHeight="1" x14ac:dyDescent="0.3">
      <c r="A120" s="106">
        <v>110</v>
      </c>
      <c r="B120" s="42" t="s">
        <v>263</v>
      </c>
      <c r="C120" s="102">
        <f t="shared" si="15"/>
        <v>366003.43986814003</v>
      </c>
      <c r="D120" s="103">
        <f t="shared" si="16"/>
        <v>197303.43986814003</v>
      </c>
      <c r="E120" s="104">
        <f t="shared" si="17"/>
        <v>99520</v>
      </c>
      <c r="F120" s="43">
        <v>76580</v>
      </c>
      <c r="G120" s="43">
        <v>0</v>
      </c>
      <c r="H120" s="43">
        <v>22890</v>
      </c>
      <c r="I120" s="44">
        <v>50</v>
      </c>
      <c r="J120" s="105">
        <v>39250</v>
      </c>
      <c r="K120" s="107">
        <v>6700</v>
      </c>
      <c r="L120" s="108">
        <f t="shared" si="19"/>
        <v>32550</v>
      </c>
      <c r="M120" s="45">
        <v>0</v>
      </c>
      <c r="N120" s="46">
        <v>0</v>
      </c>
      <c r="O120" s="45">
        <v>1350.0742769999999</v>
      </c>
      <c r="P120" s="47">
        <v>14840</v>
      </c>
      <c r="Q120" s="43">
        <v>0</v>
      </c>
      <c r="R120" s="43">
        <v>110</v>
      </c>
      <c r="S120" s="48">
        <f t="shared" si="20"/>
        <v>14730</v>
      </c>
      <c r="T120" s="49">
        <v>13310</v>
      </c>
      <c r="U120" s="44">
        <v>261.50955499999998</v>
      </c>
      <c r="V120" s="47">
        <v>10833.36559114</v>
      </c>
      <c r="W120" s="43">
        <v>0</v>
      </c>
      <c r="X120" s="43">
        <v>0</v>
      </c>
      <c r="Y120" s="48">
        <f t="shared" si="18"/>
        <v>10833.36559114</v>
      </c>
      <c r="Z120" s="49">
        <v>168700</v>
      </c>
      <c r="AA120" s="43">
        <v>164700</v>
      </c>
      <c r="AB120" s="43">
        <v>0</v>
      </c>
      <c r="AC120" s="43">
        <v>0</v>
      </c>
      <c r="AD120" s="43">
        <v>0</v>
      </c>
      <c r="AE120" s="44">
        <v>4000</v>
      </c>
      <c r="AF120" s="47">
        <v>0</v>
      </c>
      <c r="AG120" s="50">
        <v>15000</v>
      </c>
      <c r="AH120" s="49">
        <v>3200</v>
      </c>
      <c r="AI120" s="44">
        <v>1560</v>
      </c>
      <c r="AJ120" s="51" t="s">
        <v>264</v>
      </c>
    </row>
    <row r="121" spans="1:36" s="51" customFormat="1" ht="29.25" customHeight="1" x14ac:dyDescent="0.3">
      <c r="A121" s="106">
        <v>111</v>
      </c>
      <c r="B121" s="42" t="s">
        <v>265</v>
      </c>
      <c r="C121" s="102">
        <f t="shared" si="15"/>
        <v>348485.15251392999</v>
      </c>
      <c r="D121" s="103">
        <f t="shared" si="16"/>
        <v>235585.15251392999</v>
      </c>
      <c r="E121" s="104">
        <f t="shared" si="17"/>
        <v>37260</v>
      </c>
      <c r="F121" s="43">
        <v>30640</v>
      </c>
      <c r="G121" s="43">
        <v>0</v>
      </c>
      <c r="H121" s="43">
        <v>6620</v>
      </c>
      <c r="I121" s="44">
        <v>0</v>
      </c>
      <c r="J121" s="105">
        <v>14490</v>
      </c>
      <c r="K121" s="107">
        <v>1540</v>
      </c>
      <c r="L121" s="108">
        <f t="shared" si="19"/>
        <v>12950</v>
      </c>
      <c r="M121" s="45">
        <v>0</v>
      </c>
      <c r="N121" s="46">
        <v>0</v>
      </c>
      <c r="O121" s="45">
        <v>440</v>
      </c>
      <c r="P121" s="47">
        <v>8000</v>
      </c>
      <c r="Q121" s="43">
        <v>0</v>
      </c>
      <c r="R121" s="43">
        <v>0</v>
      </c>
      <c r="S121" s="48">
        <f t="shared" si="20"/>
        <v>8000</v>
      </c>
      <c r="T121" s="49">
        <v>3690</v>
      </c>
      <c r="U121" s="44">
        <v>312.17500000000001</v>
      </c>
      <c r="V121" s="47">
        <v>150305.15251392999</v>
      </c>
      <c r="W121" s="43">
        <v>150000</v>
      </c>
      <c r="X121" s="43">
        <v>0</v>
      </c>
      <c r="Y121" s="48">
        <f t="shared" si="18"/>
        <v>305.15251392999198</v>
      </c>
      <c r="Z121" s="49">
        <v>112900</v>
      </c>
      <c r="AA121" s="43">
        <v>108900</v>
      </c>
      <c r="AB121" s="43">
        <v>0</v>
      </c>
      <c r="AC121" s="43">
        <v>0</v>
      </c>
      <c r="AD121" s="43">
        <v>0</v>
      </c>
      <c r="AE121" s="44">
        <v>4000</v>
      </c>
      <c r="AF121" s="47">
        <v>0</v>
      </c>
      <c r="AG121" s="50">
        <v>20000</v>
      </c>
      <c r="AH121" s="49">
        <v>1400</v>
      </c>
      <c r="AI121" s="44">
        <v>1320</v>
      </c>
      <c r="AJ121" s="51" t="s">
        <v>266</v>
      </c>
    </row>
    <row r="122" spans="1:36" s="51" customFormat="1" ht="29.25" customHeight="1" x14ac:dyDescent="0.3">
      <c r="A122" s="106">
        <v>112</v>
      </c>
      <c r="B122" s="42" t="s">
        <v>267</v>
      </c>
      <c r="C122" s="102">
        <f t="shared" si="15"/>
        <v>325497.55570048001</v>
      </c>
      <c r="D122" s="103">
        <f t="shared" si="16"/>
        <v>221197.55570048001</v>
      </c>
      <c r="E122" s="104">
        <f t="shared" si="17"/>
        <v>12100</v>
      </c>
      <c r="F122" s="43">
        <v>10200</v>
      </c>
      <c r="G122" s="43">
        <v>0</v>
      </c>
      <c r="H122" s="43">
        <v>1900</v>
      </c>
      <c r="I122" s="44">
        <v>0</v>
      </c>
      <c r="J122" s="105">
        <v>14130</v>
      </c>
      <c r="K122" s="107">
        <v>3850</v>
      </c>
      <c r="L122" s="108">
        <f t="shared" si="19"/>
        <v>10280</v>
      </c>
      <c r="M122" s="45">
        <v>0</v>
      </c>
      <c r="N122" s="46">
        <v>0</v>
      </c>
      <c r="O122" s="45">
        <v>380</v>
      </c>
      <c r="P122" s="47">
        <v>5300</v>
      </c>
      <c r="Q122" s="43">
        <v>0</v>
      </c>
      <c r="R122" s="43">
        <v>0</v>
      </c>
      <c r="S122" s="48">
        <f t="shared" si="20"/>
        <v>5300</v>
      </c>
      <c r="T122" s="49">
        <v>4600</v>
      </c>
      <c r="U122" s="44">
        <v>197.83</v>
      </c>
      <c r="V122" s="47">
        <v>165037.55570048001</v>
      </c>
      <c r="W122" s="43">
        <v>164800</v>
      </c>
      <c r="X122" s="43">
        <v>0</v>
      </c>
      <c r="Y122" s="48">
        <f t="shared" si="18"/>
        <v>237.55570048000664</v>
      </c>
      <c r="Z122" s="49">
        <v>104300</v>
      </c>
      <c r="AA122" s="43">
        <v>100300</v>
      </c>
      <c r="AB122" s="43">
        <v>0</v>
      </c>
      <c r="AC122" s="43">
        <v>0</v>
      </c>
      <c r="AD122" s="43">
        <v>0</v>
      </c>
      <c r="AE122" s="44">
        <v>4000</v>
      </c>
      <c r="AF122" s="47">
        <v>0</v>
      </c>
      <c r="AG122" s="50">
        <v>19000</v>
      </c>
      <c r="AH122" s="49">
        <v>650</v>
      </c>
      <c r="AI122" s="44">
        <v>624</v>
      </c>
      <c r="AJ122" s="51" t="s">
        <v>268</v>
      </c>
    </row>
    <row r="123" spans="1:36" s="51" customFormat="1" ht="29.25" customHeight="1" x14ac:dyDescent="0.3">
      <c r="A123" s="106">
        <v>113</v>
      </c>
      <c r="B123" s="42" t="s">
        <v>269</v>
      </c>
      <c r="C123" s="102">
        <f t="shared" si="15"/>
        <v>251117.39146533998</v>
      </c>
      <c r="D123" s="103">
        <f t="shared" si="16"/>
        <v>128517.39146533998</v>
      </c>
      <c r="E123" s="104">
        <f t="shared" si="17"/>
        <v>71770</v>
      </c>
      <c r="F123" s="43">
        <v>64990</v>
      </c>
      <c r="G123" s="43">
        <v>0</v>
      </c>
      <c r="H123" s="43">
        <v>6780</v>
      </c>
      <c r="I123" s="44">
        <v>0</v>
      </c>
      <c r="J123" s="105">
        <v>19880</v>
      </c>
      <c r="K123" s="107">
        <v>1950</v>
      </c>
      <c r="L123" s="108">
        <f t="shared" si="19"/>
        <v>17930</v>
      </c>
      <c r="M123" s="45">
        <v>0</v>
      </c>
      <c r="N123" s="46">
        <v>0</v>
      </c>
      <c r="O123" s="45">
        <v>1120</v>
      </c>
      <c r="P123" s="47">
        <v>10200</v>
      </c>
      <c r="Q123" s="43">
        <v>0</v>
      </c>
      <c r="R123" s="43">
        <v>2270</v>
      </c>
      <c r="S123" s="48">
        <f t="shared" si="20"/>
        <v>7930</v>
      </c>
      <c r="T123" s="49">
        <v>4200</v>
      </c>
      <c r="U123" s="44">
        <v>198.98750000000001</v>
      </c>
      <c r="V123" s="47">
        <v>347.39146533999997</v>
      </c>
      <c r="W123" s="43">
        <v>0</v>
      </c>
      <c r="X123" s="43">
        <v>0</v>
      </c>
      <c r="Y123" s="48">
        <f t="shared" si="18"/>
        <v>347.39146533999997</v>
      </c>
      <c r="Z123" s="49">
        <v>122600</v>
      </c>
      <c r="AA123" s="43">
        <v>118600</v>
      </c>
      <c r="AB123" s="43">
        <v>0</v>
      </c>
      <c r="AC123" s="43">
        <v>0</v>
      </c>
      <c r="AD123" s="43">
        <v>0</v>
      </c>
      <c r="AE123" s="44">
        <v>4000</v>
      </c>
      <c r="AF123" s="47">
        <v>0</v>
      </c>
      <c r="AG123" s="50">
        <v>20000</v>
      </c>
      <c r="AH123" s="49">
        <v>1000</v>
      </c>
      <c r="AI123" s="44">
        <v>936</v>
      </c>
      <c r="AJ123" s="51" t="s">
        <v>270</v>
      </c>
    </row>
    <row r="124" spans="1:36" s="51" customFormat="1" ht="29.25" customHeight="1" x14ac:dyDescent="0.3">
      <c r="A124" s="106">
        <v>114</v>
      </c>
      <c r="B124" s="42" t="s">
        <v>271</v>
      </c>
      <c r="C124" s="102">
        <f t="shared" si="15"/>
        <v>164830.67042539999</v>
      </c>
      <c r="D124" s="103">
        <f t="shared" si="16"/>
        <v>149830.67042539999</v>
      </c>
      <c r="E124" s="104">
        <f t="shared" si="17"/>
        <v>53360</v>
      </c>
      <c r="F124" s="43">
        <v>37530</v>
      </c>
      <c r="G124" s="43">
        <v>0</v>
      </c>
      <c r="H124" s="43">
        <v>15830</v>
      </c>
      <c r="I124" s="44">
        <v>0</v>
      </c>
      <c r="J124" s="105">
        <v>25640</v>
      </c>
      <c r="K124" s="107">
        <v>2310</v>
      </c>
      <c r="L124" s="108">
        <f t="shared" si="19"/>
        <v>23330</v>
      </c>
      <c r="M124" s="45">
        <v>0</v>
      </c>
      <c r="N124" s="46">
        <v>0</v>
      </c>
      <c r="O124" s="45">
        <v>2000</v>
      </c>
      <c r="P124" s="47">
        <v>31400</v>
      </c>
      <c r="Q124" s="43">
        <v>0</v>
      </c>
      <c r="R124" s="43">
        <v>0</v>
      </c>
      <c r="S124" s="48">
        <f t="shared" si="20"/>
        <v>31400</v>
      </c>
      <c r="T124" s="49">
        <v>24560</v>
      </c>
      <c r="U124" s="44">
        <v>235.50700000000001</v>
      </c>
      <c r="V124" s="47">
        <v>4170.6704253999997</v>
      </c>
      <c r="W124" s="43">
        <v>0</v>
      </c>
      <c r="X124" s="43">
        <v>0</v>
      </c>
      <c r="Y124" s="48">
        <f t="shared" si="18"/>
        <v>4170.6704253999997</v>
      </c>
      <c r="Z124" s="49">
        <v>15000</v>
      </c>
      <c r="AA124" s="43">
        <v>0</v>
      </c>
      <c r="AB124" s="43">
        <v>0</v>
      </c>
      <c r="AC124" s="43">
        <v>0</v>
      </c>
      <c r="AD124" s="43">
        <v>0</v>
      </c>
      <c r="AE124" s="44">
        <v>15000</v>
      </c>
      <c r="AF124" s="47">
        <v>0</v>
      </c>
      <c r="AG124" s="50">
        <v>3000</v>
      </c>
      <c r="AH124" s="49">
        <v>5700</v>
      </c>
      <c r="AI124" s="44">
        <v>1248</v>
      </c>
      <c r="AJ124" s="51" t="s">
        <v>272</v>
      </c>
    </row>
    <row r="125" spans="1:36" s="51" customFormat="1" ht="29.25" customHeight="1" x14ac:dyDescent="0.3">
      <c r="A125" s="106">
        <v>115</v>
      </c>
      <c r="B125" s="42" t="s">
        <v>273</v>
      </c>
      <c r="C125" s="102">
        <f t="shared" si="15"/>
        <v>262462.24661608</v>
      </c>
      <c r="D125" s="103">
        <f t="shared" si="16"/>
        <v>153662.24661608</v>
      </c>
      <c r="E125" s="104">
        <f t="shared" si="17"/>
        <v>61450</v>
      </c>
      <c r="F125" s="43">
        <v>32220</v>
      </c>
      <c r="G125" s="43">
        <v>20</v>
      </c>
      <c r="H125" s="43">
        <v>29120</v>
      </c>
      <c r="I125" s="44">
        <v>90</v>
      </c>
      <c r="J125" s="105">
        <v>30390</v>
      </c>
      <c r="K125" s="107">
        <v>8380</v>
      </c>
      <c r="L125" s="108">
        <f t="shared" si="19"/>
        <v>22010</v>
      </c>
      <c r="M125" s="45">
        <v>0</v>
      </c>
      <c r="N125" s="46">
        <v>0</v>
      </c>
      <c r="O125" s="45">
        <v>2430</v>
      </c>
      <c r="P125" s="47">
        <v>36010</v>
      </c>
      <c r="Q125" s="43">
        <v>0</v>
      </c>
      <c r="R125" s="43">
        <v>0</v>
      </c>
      <c r="S125" s="48">
        <f t="shared" si="20"/>
        <v>36010</v>
      </c>
      <c r="T125" s="49">
        <v>5030</v>
      </c>
      <c r="U125" s="44">
        <v>168.14250000000001</v>
      </c>
      <c r="V125" s="47">
        <v>2567.24661608</v>
      </c>
      <c r="W125" s="43">
        <v>0</v>
      </c>
      <c r="X125" s="43">
        <v>0</v>
      </c>
      <c r="Y125" s="48">
        <f t="shared" si="18"/>
        <v>2567.24661608</v>
      </c>
      <c r="Z125" s="49">
        <v>108800</v>
      </c>
      <c r="AA125" s="43">
        <v>100800</v>
      </c>
      <c r="AB125" s="43">
        <v>0</v>
      </c>
      <c r="AC125" s="43">
        <v>0</v>
      </c>
      <c r="AD125" s="43">
        <v>0</v>
      </c>
      <c r="AE125" s="44">
        <v>8000</v>
      </c>
      <c r="AF125" s="47">
        <v>1178</v>
      </c>
      <c r="AG125" s="50">
        <v>3627</v>
      </c>
      <c r="AH125" s="49">
        <v>10980</v>
      </c>
      <c r="AI125" s="44">
        <v>468</v>
      </c>
      <c r="AJ125" s="51" t="s">
        <v>274</v>
      </c>
    </row>
    <row r="126" spans="1:36" s="51" customFormat="1" ht="29.25" customHeight="1" x14ac:dyDescent="0.3">
      <c r="A126" s="106">
        <v>116</v>
      </c>
      <c r="B126" s="42" t="s">
        <v>275</v>
      </c>
      <c r="C126" s="102">
        <f t="shared" ref="C126:C136" si="21">+E126+J126+M126+N126+O126+P126+T126+V126+Z126+AF126+AG126+AH126</f>
        <v>396031.82203335001</v>
      </c>
      <c r="D126" s="103">
        <f t="shared" ref="D126:D136" si="22">+C126-Z126</f>
        <v>307831.82203335001</v>
      </c>
      <c r="E126" s="104">
        <f t="shared" ref="E126:E136" si="23">SUM(F126:I126)</f>
        <v>168140</v>
      </c>
      <c r="F126" s="43">
        <v>80550</v>
      </c>
      <c r="G126" s="43">
        <v>0</v>
      </c>
      <c r="H126" s="43">
        <v>87590</v>
      </c>
      <c r="I126" s="44">
        <v>0</v>
      </c>
      <c r="J126" s="105">
        <v>45120</v>
      </c>
      <c r="K126" s="107">
        <v>7250</v>
      </c>
      <c r="L126" s="108">
        <f t="shared" si="19"/>
        <v>37870</v>
      </c>
      <c r="M126" s="45">
        <v>0</v>
      </c>
      <c r="N126" s="46">
        <v>0</v>
      </c>
      <c r="O126" s="45">
        <v>1100</v>
      </c>
      <c r="P126" s="47">
        <v>30060</v>
      </c>
      <c r="Q126" s="43">
        <v>0</v>
      </c>
      <c r="R126" s="43">
        <v>370</v>
      </c>
      <c r="S126" s="48">
        <f t="shared" si="20"/>
        <v>29690</v>
      </c>
      <c r="T126" s="49">
        <v>4660</v>
      </c>
      <c r="U126" s="44">
        <v>169.20750000000001</v>
      </c>
      <c r="V126" s="47">
        <v>41221.822033349999</v>
      </c>
      <c r="W126" s="43">
        <v>0</v>
      </c>
      <c r="X126" s="43">
        <v>420</v>
      </c>
      <c r="Y126" s="48">
        <f t="shared" ref="Y126:Y136" si="24">V126-W126-X126</f>
        <v>40801.822033349999</v>
      </c>
      <c r="Z126" s="49">
        <v>88200</v>
      </c>
      <c r="AA126" s="43">
        <v>82200</v>
      </c>
      <c r="AB126" s="43">
        <v>0</v>
      </c>
      <c r="AC126" s="43">
        <v>0</v>
      </c>
      <c r="AD126" s="43">
        <v>0</v>
      </c>
      <c r="AE126" s="44">
        <v>6000</v>
      </c>
      <c r="AF126" s="47">
        <v>0</v>
      </c>
      <c r="AG126" s="50">
        <v>2000</v>
      </c>
      <c r="AH126" s="49">
        <v>15530</v>
      </c>
      <c r="AI126" s="44">
        <v>936</v>
      </c>
      <c r="AJ126" s="51" t="s">
        <v>276</v>
      </c>
    </row>
    <row r="127" spans="1:36" s="51" customFormat="1" ht="29.25" customHeight="1" x14ac:dyDescent="0.3">
      <c r="A127" s="106">
        <v>117</v>
      </c>
      <c r="B127" s="42" t="s">
        <v>277</v>
      </c>
      <c r="C127" s="102">
        <f t="shared" si="21"/>
        <v>1300259.8393405101</v>
      </c>
      <c r="D127" s="103">
        <f t="shared" si="22"/>
        <v>1294259.8393405101</v>
      </c>
      <c r="E127" s="104">
        <f t="shared" si="23"/>
        <v>910570</v>
      </c>
      <c r="F127" s="43">
        <v>167500</v>
      </c>
      <c r="G127" s="43">
        <v>10</v>
      </c>
      <c r="H127" s="43">
        <v>743060</v>
      </c>
      <c r="I127" s="44">
        <v>0</v>
      </c>
      <c r="J127" s="105">
        <v>32010</v>
      </c>
      <c r="K127" s="107">
        <v>14470</v>
      </c>
      <c r="L127" s="108">
        <f t="shared" si="19"/>
        <v>17540</v>
      </c>
      <c r="M127" s="45">
        <v>0</v>
      </c>
      <c r="N127" s="46">
        <v>0</v>
      </c>
      <c r="O127" s="45">
        <v>2000</v>
      </c>
      <c r="P127" s="47">
        <v>321090</v>
      </c>
      <c r="Q127" s="43">
        <v>184490</v>
      </c>
      <c r="R127" s="43">
        <v>108590</v>
      </c>
      <c r="S127" s="48">
        <f t="shared" si="20"/>
        <v>28010</v>
      </c>
      <c r="T127" s="49">
        <v>3630</v>
      </c>
      <c r="U127" s="44">
        <v>94.547499999999999</v>
      </c>
      <c r="V127" s="47">
        <v>1787.8393405100001</v>
      </c>
      <c r="W127" s="43">
        <v>0</v>
      </c>
      <c r="X127" s="43">
        <v>0</v>
      </c>
      <c r="Y127" s="48">
        <f t="shared" si="24"/>
        <v>1787.8393405100001</v>
      </c>
      <c r="Z127" s="49">
        <v>6000</v>
      </c>
      <c r="AA127" s="43">
        <v>0</v>
      </c>
      <c r="AB127" s="43">
        <v>0</v>
      </c>
      <c r="AC127" s="43">
        <v>0</v>
      </c>
      <c r="AD127" s="43">
        <v>0</v>
      </c>
      <c r="AE127" s="44">
        <v>6000</v>
      </c>
      <c r="AF127" s="47">
        <v>1157</v>
      </c>
      <c r="AG127" s="50">
        <v>5735</v>
      </c>
      <c r="AH127" s="49">
        <v>16280</v>
      </c>
      <c r="AI127" s="44">
        <v>1560</v>
      </c>
      <c r="AJ127" s="51" t="s">
        <v>278</v>
      </c>
    </row>
    <row r="128" spans="1:36" s="51" customFormat="1" ht="29.25" customHeight="1" x14ac:dyDescent="0.3">
      <c r="A128" s="106">
        <v>118</v>
      </c>
      <c r="B128" s="42" t="s">
        <v>279</v>
      </c>
      <c r="C128" s="102">
        <f t="shared" si="21"/>
        <v>351937.64639114996</v>
      </c>
      <c r="D128" s="103">
        <f t="shared" si="22"/>
        <v>185937.64639114996</v>
      </c>
      <c r="E128" s="104">
        <f t="shared" si="23"/>
        <v>87820</v>
      </c>
      <c r="F128" s="43">
        <v>19490</v>
      </c>
      <c r="G128" s="43">
        <v>0</v>
      </c>
      <c r="H128" s="43">
        <v>67880</v>
      </c>
      <c r="I128" s="44">
        <v>450</v>
      </c>
      <c r="J128" s="105">
        <v>40320</v>
      </c>
      <c r="K128" s="107">
        <v>14760</v>
      </c>
      <c r="L128" s="108">
        <f t="shared" si="19"/>
        <v>25560</v>
      </c>
      <c r="M128" s="45">
        <v>0</v>
      </c>
      <c r="N128" s="46">
        <v>0</v>
      </c>
      <c r="O128" s="45">
        <v>1000</v>
      </c>
      <c r="P128" s="47">
        <v>25810</v>
      </c>
      <c r="Q128" s="43">
        <v>0</v>
      </c>
      <c r="R128" s="43">
        <v>2430</v>
      </c>
      <c r="S128" s="48">
        <f t="shared" si="20"/>
        <v>23380</v>
      </c>
      <c r="T128" s="49">
        <v>5780</v>
      </c>
      <c r="U128" s="44">
        <v>67.495000000000005</v>
      </c>
      <c r="V128" s="47">
        <v>5288.6463911499995</v>
      </c>
      <c r="W128" s="43">
        <v>0</v>
      </c>
      <c r="X128" s="43">
        <v>0</v>
      </c>
      <c r="Y128" s="48">
        <f t="shared" si="24"/>
        <v>5288.6463911499995</v>
      </c>
      <c r="Z128" s="49">
        <v>166000</v>
      </c>
      <c r="AA128" s="43">
        <v>0</v>
      </c>
      <c r="AB128" s="43">
        <v>0</v>
      </c>
      <c r="AC128" s="43">
        <v>0</v>
      </c>
      <c r="AD128" s="43">
        <v>151000</v>
      </c>
      <c r="AE128" s="44">
        <v>15000</v>
      </c>
      <c r="AF128" s="47">
        <v>1369</v>
      </c>
      <c r="AG128" s="50">
        <v>3000</v>
      </c>
      <c r="AH128" s="49">
        <v>15550</v>
      </c>
      <c r="AI128" s="44">
        <v>624</v>
      </c>
      <c r="AJ128" s="51" t="s">
        <v>280</v>
      </c>
    </row>
    <row r="129" spans="1:36" s="51" customFormat="1" ht="29.25" customHeight="1" x14ac:dyDescent="0.3">
      <c r="A129" s="106">
        <v>119</v>
      </c>
      <c r="B129" s="42" t="s">
        <v>281</v>
      </c>
      <c r="C129" s="102">
        <f t="shared" si="21"/>
        <v>843206.16408042004</v>
      </c>
      <c r="D129" s="103">
        <f t="shared" si="22"/>
        <v>368906.16408042004</v>
      </c>
      <c r="E129" s="104">
        <f t="shared" si="23"/>
        <v>231600</v>
      </c>
      <c r="F129" s="43">
        <v>130110</v>
      </c>
      <c r="G129" s="43">
        <v>10</v>
      </c>
      <c r="H129" s="43">
        <v>101470</v>
      </c>
      <c r="I129" s="44">
        <v>10</v>
      </c>
      <c r="J129" s="105">
        <v>40730</v>
      </c>
      <c r="K129" s="107">
        <v>5490</v>
      </c>
      <c r="L129" s="108">
        <f t="shared" si="19"/>
        <v>35240</v>
      </c>
      <c r="M129" s="45">
        <v>0</v>
      </c>
      <c r="N129" s="46">
        <v>0</v>
      </c>
      <c r="O129" s="45">
        <v>1740</v>
      </c>
      <c r="P129" s="47">
        <v>39210</v>
      </c>
      <c r="Q129" s="43">
        <v>0</v>
      </c>
      <c r="R129" s="43">
        <v>12610</v>
      </c>
      <c r="S129" s="48">
        <f t="shared" si="20"/>
        <v>26600</v>
      </c>
      <c r="T129" s="49">
        <v>22560</v>
      </c>
      <c r="U129" s="44">
        <v>53.707355</v>
      </c>
      <c r="V129" s="47">
        <v>14976.16408042</v>
      </c>
      <c r="W129" s="43">
        <v>0</v>
      </c>
      <c r="X129" s="43">
        <v>150</v>
      </c>
      <c r="Y129" s="48">
        <f t="shared" si="24"/>
        <v>14826.16408042</v>
      </c>
      <c r="Z129" s="49">
        <v>474300</v>
      </c>
      <c r="AA129" s="43">
        <v>0</v>
      </c>
      <c r="AB129" s="43">
        <v>459300</v>
      </c>
      <c r="AC129" s="43">
        <v>0</v>
      </c>
      <c r="AD129" s="43">
        <v>0</v>
      </c>
      <c r="AE129" s="44">
        <v>15000</v>
      </c>
      <c r="AF129" s="47">
        <v>0</v>
      </c>
      <c r="AG129" s="50">
        <v>2000</v>
      </c>
      <c r="AH129" s="49">
        <v>16090</v>
      </c>
      <c r="AI129" s="44">
        <v>1560</v>
      </c>
      <c r="AJ129" s="51" t="s">
        <v>282</v>
      </c>
    </row>
    <row r="130" spans="1:36" s="51" customFormat="1" ht="29.25" customHeight="1" x14ac:dyDescent="0.3">
      <c r="A130" s="106">
        <v>120</v>
      </c>
      <c r="B130" s="42" t="s">
        <v>283</v>
      </c>
      <c r="C130" s="102">
        <f t="shared" si="21"/>
        <v>208277.78676976002</v>
      </c>
      <c r="D130" s="103">
        <f t="shared" si="22"/>
        <v>117277.78676976002</v>
      </c>
      <c r="E130" s="104">
        <f t="shared" si="23"/>
        <v>61880</v>
      </c>
      <c r="F130" s="43">
        <v>44030</v>
      </c>
      <c r="G130" s="43">
        <v>0</v>
      </c>
      <c r="H130" s="43">
        <v>17850</v>
      </c>
      <c r="I130" s="44">
        <v>0</v>
      </c>
      <c r="J130" s="105">
        <v>15560</v>
      </c>
      <c r="K130" s="107">
        <v>1430</v>
      </c>
      <c r="L130" s="108">
        <f t="shared" si="19"/>
        <v>14130</v>
      </c>
      <c r="M130" s="45">
        <v>0</v>
      </c>
      <c r="N130" s="46">
        <v>0</v>
      </c>
      <c r="O130" s="45">
        <v>680</v>
      </c>
      <c r="P130" s="47">
        <v>10600</v>
      </c>
      <c r="Q130" s="43">
        <v>0</v>
      </c>
      <c r="R130" s="43">
        <v>0</v>
      </c>
      <c r="S130" s="48">
        <f t="shared" si="20"/>
        <v>10600</v>
      </c>
      <c r="T130" s="49">
        <v>3890</v>
      </c>
      <c r="U130" s="44">
        <v>183.19</v>
      </c>
      <c r="V130" s="47">
        <v>9107.7867697599995</v>
      </c>
      <c r="W130" s="43">
        <v>0</v>
      </c>
      <c r="X130" s="43">
        <v>0</v>
      </c>
      <c r="Y130" s="48">
        <f t="shared" si="24"/>
        <v>9107.7867697599995</v>
      </c>
      <c r="Z130" s="49">
        <v>91000</v>
      </c>
      <c r="AA130" s="43">
        <v>87000</v>
      </c>
      <c r="AB130" s="43">
        <v>0</v>
      </c>
      <c r="AC130" s="43">
        <v>0</v>
      </c>
      <c r="AD130" s="43">
        <v>0</v>
      </c>
      <c r="AE130" s="44">
        <v>4000</v>
      </c>
      <c r="AF130" s="47">
        <v>0</v>
      </c>
      <c r="AG130" s="50">
        <v>13510</v>
      </c>
      <c r="AH130" s="49">
        <v>2050</v>
      </c>
      <c r="AI130" s="44">
        <v>468</v>
      </c>
      <c r="AJ130" s="51" t="s">
        <v>284</v>
      </c>
    </row>
    <row r="131" spans="1:36" s="51" customFormat="1" ht="29.25" customHeight="1" x14ac:dyDescent="0.3">
      <c r="A131" s="106">
        <v>121</v>
      </c>
      <c r="B131" s="42" t="s">
        <v>285</v>
      </c>
      <c r="C131" s="102">
        <f t="shared" si="21"/>
        <v>365992.77621608</v>
      </c>
      <c r="D131" s="103">
        <f t="shared" si="22"/>
        <v>109792.77621608</v>
      </c>
      <c r="E131" s="104">
        <f t="shared" si="23"/>
        <v>39540</v>
      </c>
      <c r="F131" s="43">
        <v>30850</v>
      </c>
      <c r="G131" s="43">
        <v>0</v>
      </c>
      <c r="H131" s="43">
        <v>8660</v>
      </c>
      <c r="I131" s="44">
        <v>30</v>
      </c>
      <c r="J131" s="105">
        <v>29850</v>
      </c>
      <c r="K131" s="107">
        <v>7010</v>
      </c>
      <c r="L131" s="108">
        <f t="shared" si="19"/>
        <v>22840</v>
      </c>
      <c r="M131" s="45">
        <v>0</v>
      </c>
      <c r="N131" s="46">
        <v>0</v>
      </c>
      <c r="O131" s="45">
        <v>690</v>
      </c>
      <c r="P131" s="47">
        <v>19220</v>
      </c>
      <c r="Q131" s="43">
        <v>0</v>
      </c>
      <c r="R131" s="43">
        <v>220</v>
      </c>
      <c r="S131" s="48">
        <f t="shared" si="20"/>
        <v>19000</v>
      </c>
      <c r="T131" s="49">
        <v>5320</v>
      </c>
      <c r="U131" s="44">
        <v>152.05000000000001</v>
      </c>
      <c r="V131" s="47">
        <v>772.77621607999993</v>
      </c>
      <c r="W131" s="43">
        <v>0</v>
      </c>
      <c r="X131" s="43">
        <v>0</v>
      </c>
      <c r="Y131" s="48">
        <f t="shared" si="24"/>
        <v>772.77621607999993</v>
      </c>
      <c r="Z131" s="49">
        <v>256200</v>
      </c>
      <c r="AA131" s="43">
        <v>252200</v>
      </c>
      <c r="AB131" s="43">
        <v>0</v>
      </c>
      <c r="AC131" s="43">
        <v>0</v>
      </c>
      <c r="AD131" s="43">
        <v>0</v>
      </c>
      <c r="AE131" s="44">
        <v>4000</v>
      </c>
      <c r="AF131" s="47">
        <v>0</v>
      </c>
      <c r="AG131" s="50">
        <v>12800</v>
      </c>
      <c r="AH131" s="49">
        <v>1600</v>
      </c>
      <c r="AI131" s="44">
        <v>936</v>
      </c>
      <c r="AJ131" s="51" t="s">
        <v>286</v>
      </c>
    </row>
    <row r="132" spans="1:36" s="51" customFormat="1" ht="29.25" customHeight="1" x14ac:dyDescent="0.3">
      <c r="A132" s="106">
        <v>122</v>
      </c>
      <c r="B132" s="42" t="s">
        <v>287</v>
      </c>
      <c r="C132" s="102">
        <f t="shared" si="21"/>
        <v>705490.43075258005</v>
      </c>
      <c r="D132" s="103">
        <f t="shared" si="22"/>
        <v>173990.43075258005</v>
      </c>
      <c r="E132" s="104">
        <f t="shared" si="23"/>
        <v>89630</v>
      </c>
      <c r="F132" s="43">
        <v>62710</v>
      </c>
      <c r="G132" s="43">
        <v>30</v>
      </c>
      <c r="H132" s="43">
        <v>26870</v>
      </c>
      <c r="I132" s="44">
        <v>20</v>
      </c>
      <c r="J132" s="105">
        <v>36240</v>
      </c>
      <c r="K132" s="107">
        <v>5080</v>
      </c>
      <c r="L132" s="108">
        <f t="shared" si="19"/>
        <v>31160</v>
      </c>
      <c r="M132" s="45">
        <v>0</v>
      </c>
      <c r="N132" s="46">
        <v>0</v>
      </c>
      <c r="O132" s="45">
        <v>1150</v>
      </c>
      <c r="P132" s="47">
        <v>21630</v>
      </c>
      <c r="Q132" s="43">
        <v>0</v>
      </c>
      <c r="R132" s="43">
        <v>130</v>
      </c>
      <c r="S132" s="48">
        <f t="shared" si="20"/>
        <v>21500</v>
      </c>
      <c r="T132" s="49">
        <v>7370</v>
      </c>
      <c r="U132" s="44">
        <v>7.3150250000000003</v>
      </c>
      <c r="V132" s="47">
        <v>11940.43075258</v>
      </c>
      <c r="W132" s="43">
        <v>0</v>
      </c>
      <c r="X132" s="43">
        <v>130</v>
      </c>
      <c r="Y132" s="48">
        <f t="shared" si="24"/>
        <v>11810.43075258</v>
      </c>
      <c r="Z132" s="49">
        <v>531500</v>
      </c>
      <c r="AA132" s="43">
        <v>0</v>
      </c>
      <c r="AB132" s="43">
        <v>527500</v>
      </c>
      <c r="AC132" s="43">
        <v>0</v>
      </c>
      <c r="AD132" s="43">
        <v>0</v>
      </c>
      <c r="AE132" s="44">
        <v>4000</v>
      </c>
      <c r="AF132" s="47">
        <v>0</v>
      </c>
      <c r="AG132" s="50">
        <v>2000</v>
      </c>
      <c r="AH132" s="49">
        <v>4030</v>
      </c>
      <c r="AI132" s="44">
        <v>2808</v>
      </c>
      <c r="AJ132" s="51" t="s">
        <v>288</v>
      </c>
    </row>
    <row r="133" spans="1:36" s="51" customFormat="1" ht="29.25" customHeight="1" x14ac:dyDescent="0.3">
      <c r="A133" s="106">
        <v>123</v>
      </c>
      <c r="B133" s="42" t="s">
        <v>289</v>
      </c>
      <c r="C133" s="102">
        <f t="shared" si="21"/>
        <v>1419437.2438497399</v>
      </c>
      <c r="D133" s="103">
        <f t="shared" si="22"/>
        <v>615337.2438497399</v>
      </c>
      <c r="E133" s="104">
        <f t="shared" si="23"/>
        <v>263470</v>
      </c>
      <c r="F133" s="43">
        <v>209560</v>
      </c>
      <c r="G133" s="43">
        <v>0</v>
      </c>
      <c r="H133" s="43">
        <v>53910</v>
      </c>
      <c r="I133" s="44">
        <v>0</v>
      </c>
      <c r="J133" s="105">
        <v>136190</v>
      </c>
      <c r="K133" s="107">
        <v>91970</v>
      </c>
      <c r="L133" s="108">
        <f t="shared" si="19"/>
        <v>44220</v>
      </c>
      <c r="M133" s="45">
        <v>0</v>
      </c>
      <c r="N133" s="46">
        <v>0</v>
      </c>
      <c r="O133" s="45">
        <v>7850</v>
      </c>
      <c r="P133" s="47">
        <v>156200</v>
      </c>
      <c r="Q133" s="43">
        <v>0</v>
      </c>
      <c r="R133" s="43">
        <v>5490</v>
      </c>
      <c r="S133" s="48">
        <f t="shared" si="20"/>
        <v>150710</v>
      </c>
      <c r="T133" s="49">
        <v>19960</v>
      </c>
      <c r="U133" s="44">
        <v>220.13499999999999</v>
      </c>
      <c r="V133" s="47">
        <v>12377.24384974</v>
      </c>
      <c r="W133" s="43">
        <v>0</v>
      </c>
      <c r="X133" s="43">
        <v>0</v>
      </c>
      <c r="Y133" s="48">
        <f t="shared" si="24"/>
        <v>12377.24384974</v>
      </c>
      <c r="Z133" s="49">
        <v>804100</v>
      </c>
      <c r="AA133" s="43">
        <v>415100</v>
      </c>
      <c r="AB133" s="43">
        <v>0</v>
      </c>
      <c r="AC133" s="43">
        <v>0</v>
      </c>
      <c r="AD133" s="43">
        <v>377000</v>
      </c>
      <c r="AE133" s="44">
        <v>12000</v>
      </c>
      <c r="AF133" s="47">
        <v>0</v>
      </c>
      <c r="AG133" s="50">
        <v>2000</v>
      </c>
      <c r="AH133" s="49">
        <v>17290</v>
      </c>
      <c r="AI133" s="44">
        <v>3120</v>
      </c>
      <c r="AJ133" s="51" t="s">
        <v>290</v>
      </c>
    </row>
    <row r="134" spans="1:36" s="51" customFormat="1" ht="29.25" customHeight="1" x14ac:dyDescent="0.3">
      <c r="A134" s="106">
        <v>124</v>
      </c>
      <c r="B134" s="42" t="s">
        <v>291</v>
      </c>
      <c r="C134" s="102">
        <f t="shared" si="21"/>
        <v>291490.24807284999</v>
      </c>
      <c r="D134" s="103">
        <f t="shared" si="22"/>
        <v>231190.24807284999</v>
      </c>
      <c r="E134" s="104">
        <f t="shared" si="23"/>
        <v>126790</v>
      </c>
      <c r="F134" s="43">
        <v>76920</v>
      </c>
      <c r="G134" s="43">
        <v>0</v>
      </c>
      <c r="H134" s="43">
        <v>49870</v>
      </c>
      <c r="I134" s="44">
        <v>0</v>
      </c>
      <c r="J134" s="105">
        <v>36200</v>
      </c>
      <c r="K134" s="107">
        <v>1640</v>
      </c>
      <c r="L134" s="108">
        <f t="shared" si="19"/>
        <v>34560</v>
      </c>
      <c r="M134" s="45">
        <v>0</v>
      </c>
      <c r="N134" s="46">
        <v>0</v>
      </c>
      <c r="O134" s="45">
        <v>2150</v>
      </c>
      <c r="P134" s="47">
        <v>29830</v>
      </c>
      <c r="Q134" s="43">
        <v>0</v>
      </c>
      <c r="R134" s="43">
        <v>770</v>
      </c>
      <c r="S134" s="48">
        <f t="shared" si="20"/>
        <v>29060</v>
      </c>
      <c r="T134" s="49">
        <v>5630</v>
      </c>
      <c r="U134" s="44">
        <v>160.42250000000001</v>
      </c>
      <c r="V134" s="47">
        <v>3963.24807285</v>
      </c>
      <c r="W134" s="43">
        <v>0</v>
      </c>
      <c r="X134" s="43">
        <v>0</v>
      </c>
      <c r="Y134" s="48">
        <f t="shared" si="24"/>
        <v>3963.24807285</v>
      </c>
      <c r="Z134" s="49">
        <v>60300</v>
      </c>
      <c r="AA134" s="43">
        <v>55300</v>
      </c>
      <c r="AB134" s="43">
        <v>0</v>
      </c>
      <c r="AC134" s="43">
        <v>0</v>
      </c>
      <c r="AD134" s="43">
        <v>0</v>
      </c>
      <c r="AE134" s="44">
        <v>5000</v>
      </c>
      <c r="AF134" s="47">
        <v>2660</v>
      </c>
      <c r="AG134" s="50">
        <v>19457</v>
      </c>
      <c r="AH134" s="49">
        <v>4510</v>
      </c>
      <c r="AI134" s="44">
        <v>2340</v>
      </c>
      <c r="AJ134" s="51" t="s">
        <v>292</v>
      </c>
    </row>
    <row r="135" spans="1:36" s="51" customFormat="1" ht="29.25" customHeight="1" x14ac:dyDescent="0.3">
      <c r="A135" s="106">
        <v>125</v>
      </c>
      <c r="B135" s="42" t="s">
        <v>293</v>
      </c>
      <c r="C135" s="102">
        <f t="shared" si="21"/>
        <v>1394066.7371632201</v>
      </c>
      <c r="D135" s="103">
        <f t="shared" si="22"/>
        <v>1078966.7371632201</v>
      </c>
      <c r="E135" s="104">
        <f t="shared" si="23"/>
        <v>812770</v>
      </c>
      <c r="F135" s="43">
        <v>580250</v>
      </c>
      <c r="G135" s="43">
        <v>119660</v>
      </c>
      <c r="H135" s="43">
        <v>112860</v>
      </c>
      <c r="I135" s="44">
        <v>0</v>
      </c>
      <c r="J135" s="105">
        <v>60440</v>
      </c>
      <c r="K135" s="107">
        <v>20980</v>
      </c>
      <c r="L135" s="108">
        <f t="shared" si="19"/>
        <v>39460</v>
      </c>
      <c r="M135" s="45">
        <v>0</v>
      </c>
      <c r="N135" s="46">
        <v>0</v>
      </c>
      <c r="O135" s="45">
        <v>5140</v>
      </c>
      <c r="P135" s="47">
        <v>144340</v>
      </c>
      <c r="Q135" s="43">
        <v>0</v>
      </c>
      <c r="R135" s="43">
        <v>20140</v>
      </c>
      <c r="S135" s="48">
        <f t="shared" si="20"/>
        <v>124200</v>
      </c>
      <c r="T135" s="49">
        <v>14860</v>
      </c>
      <c r="U135" s="44">
        <v>208.43</v>
      </c>
      <c r="V135" s="47">
        <v>14086.737163219999</v>
      </c>
      <c r="W135" s="43">
        <v>0</v>
      </c>
      <c r="X135" s="43">
        <v>1110</v>
      </c>
      <c r="Y135" s="48">
        <f t="shared" si="24"/>
        <v>12976.737163219999</v>
      </c>
      <c r="Z135" s="49">
        <v>315100</v>
      </c>
      <c r="AA135" s="43">
        <v>303100</v>
      </c>
      <c r="AB135" s="43">
        <v>0</v>
      </c>
      <c r="AC135" s="43">
        <v>0</v>
      </c>
      <c r="AD135" s="43">
        <v>0</v>
      </c>
      <c r="AE135" s="44">
        <v>12000</v>
      </c>
      <c r="AF135" s="47">
        <v>0</v>
      </c>
      <c r="AG135" s="50">
        <v>9800</v>
      </c>
      <c r="AH135" s="49">
        <v>17530</v>
      </c>
      <c r="AI135" s="44">
        <v>2028</v>
      </c>
      <c r="AJ135" s="51" t="s">
        <v>294</v>
      </c>
    </row>
    <row r="136" spans="1:36" s="51" customFormat="1" ht="29.25" customHeight="1" thickBot="1" x14ac:dyDescent="0.35">
      <c r="A136" s="109">
        <v>126</v>
      </c>
      <c r="B136" s="57" t="s">
        <v>295</v>
      </c>
      <c r="C136" s="110">
        <f t="shared" si="21"/>
        <v>2581632.1348977601</v>
      </c>
      <c r="D136" s="111">
        <f t="shared" si="22"/>
        <v>891832.13489776012</v>
      </c>
      <c r="E136" s="112">
        <f t="shared" si="23"/>
        <v>587990</v>
      </c>
      <c r="F136" s="43">
        <v>401240</v>
      </c>
      <c r="G136" s="43">
        <v>0</v>
      </c>
      <c r="H136" s="43">
        <v>186750</v>
      </c>
      <c r="I136" s="44">
        <v>0</v>
      </c>
      <c r="J136" s="113">
        <v>118320</v>
      </c>
      <c r="K136" s="114">
        <v>36310</v>
      </c>
      <c r="L136" s="115">
        <f t="shared" si="19"/>
        <v>82010</v>
      </c>
      <c r="M136" s="58">
        <v>0</v>
      </c>
      <c r="N136" s="59">
        <v>0</v>
      </c>
      <c r="O136" s="58">
        <v>9600</v>
      </c>
      <c r="P136" s="60">
        <v>117730</v>
      </c>
      <c r="Q136" s="61">
        <v>0</v>
      </c>
      <c r="R136" s="61">
        <v>2490</v>
      </c>
      <c r="S136" s="62">
        <f t="shared" si="20"/>
        <v>115240</v>
      </c>
      <c r="T136" s="63">
        <v>26220</v>
      </c>
      <c r="U136" s="44">
        <v>277.68574999999998</v>
      </c>
      <c r="V136" s="60">
        <v>13427.134897760001</v>
      </c>
      <c r="W136" s="61">
        <v>0</v>
      </c>
      <c r="X136" s="61">
        <v>220</v>
      </c>
      <c r="Y136" s="62">
        <f t="shared" si="24"/>
        <v>13207.134897760001</v>
      </c>
      <c r="Z136" s="63">
        <v>1689800</v>
      </c>
      <c r="AA136" s="61">
        <v>0</v>
      </c>
      <c r="AB136" s="61">
        <v>1100800</v>
      </c>
      <c r="AC136" s="61">
        <v>0</v>
      </c>
      <c r="AD136" s="61">
        <v>569000</v>
      </c>
      <c r="AE136" s="64">
        <v>20000</v>
      </c>
      <c r="AF136" s="60">
        <v>0</v>
      </c>
      <c r="AG136" s="50">
        <v>5425</v>
      </c>
      <c r="AH136" s="63">
        <v>13120</v>
      </c>
      <c r="AI136" s="44">
        <v>180</v>
      </c>
      <c r="AJ136" s="51" t="s">
        <v>296</v>
      </c>
    </row>
    <row r="137" spans="1:36" s="65" customFormat="1" ht="15" x14ac:dyDescent="0.25">
      <c r="B137" s="66"/>
      <c r="U137" s="67"/>
    </row>
    <row r="138" spans="1:36" s="65" customFormat="1" ht="15" x14ac:dyDescent="0.25">
      <c r="B138" s="66"/>
      <c r="U138" s="67"/>
    </row>
    <row r="139" spans="1:36" s="65" customFormat="1" ht="15" x14ac:dyDescent="0.25">
      <c r="B139" s="66"/>
      <c r="U139" s="67"/>
    </row>
    <row r="140" spans="1:36" s="65" customFormat="1" ht="15" x14ac:dyDescent="0.25">
      <c r="B140" s="66"/>
      <c r="U140" s="67"/>
    </row>
    <row r="141" spans="1:36" s="65" customFormat="1" ht="15" x14ac:dyDescent="0.25">
      <c r="B141" s="66"/>
      <c r="U141" s="67"/>
    </row>
    <row r="142" spans="1:36" s="65" customFormat="1" ht="15" x14ac:dyDescent="0.25">
      <c r="B142" s="66"/>
      <c r="U142" s="67"/>
    </row>
    <row r="143" spans="1:36" s="65" customFormat="1" ht="15" x14ac:dyDescent="0.25">
      <c r="B143" s="66"/>
      <c r="U143" s="67"/>
    </row>
    <row r="144" spans="1:36" s="65" customFormat="1" ht="15" x14ac:dyDescent="0.25">
      <c r="B144" s="66"/>
      <c r="U144" s="67"/>
    </row>
    <row r="145" spans="2:21" s="65" customFormat="1" ht="15" x14ac:dyDescent="0.25">
      <c r="B145" s="66"/>
      <c r="U145" s="67"/>
    </row>
    <row r="146" spans="2:21" s="65" customFormat="1" ht="15" x14ac:dyDescent="0.25">
      <c r="B146" s="66"/>
      <c r="U146" s="67"/>
    </row>
    <row r="147" spans="2:21" s="65" customFormat="1" ht="15" x14ac:dyDescent="0.25">
      <c r="B147" s="66"/>
      <c r="U147" s="67"/>
    </row>
    <row r="148" spans="2:21" s="65" customFormat="1" ht="15" x14ac:dyDescent="0.25">
      <c r="B148" s="66"/>
      <c r="U148" s="67"/>
    </row>
    <row r="149" spans="2:21" s="65" customFormat="1" ht="15" x14ac:dyDescent="0.25">
      <c r="B149" s="66"/>
      <c r="U149" s="67"/>
    </row>
    <row r="150" spans="2:21" s="65" customFormat="1" ht="15" x14ac:dyDescent="0.25">
      <c r="B150" s="66"/>
      <c r="U150" s="67"/>
    </row>
    <row r="151" spans="2:21" s="65" customFormat="1" ht="15" x14ac:dyDescent="0.25">
      <c r="B151" s="66"/>
      <c r="U151" s="67"/>
    </row>
    <row r="152" spans="2:21" s="65" customFormat="1" ht="15" x14ac:dyDescent="0.25">
      <c r="B152" s="66"/>
      <c r="U152" s="67"/>
    </row>
  </sheetData>
  <autoFilter ref="A8:AJ136" xr:uid="{122C8DA0-026C-4C33-929F-F5FE808C9292}"/>
  <mergeCells count="19">
    <mergeCell ref="A2:AI2"/>
    <mergeCell ref="AH3:AI3"/>
    <mergeCell ref="A5:A7"/>
    <mergeCell ref="B5:B7"/>
    <mergeCell ref="C5:C7"/>
    <mergeCell ref="D5:D7"/>
    <mergeCell ref="E5:AI5"/>
    <mergeCell ref="E6:I6"/>
    <mergeCell ref="J6:L6"/>
    <mergeCell ref="M6:M7"/>
    <mergeCell ref="AF6:AF7"/>
    <mergeCell ref="AG6:AG7"/>
    <mergeCell ref="AH6:AI6"/>
    <mergeCell ref="N6:N7"/>
    <mergeCell ref="O6:O7"/>
    <mergeCell ref="P6:S6"/>
    <mergeCell ref="T6:U6"/>
    <mergeCell ref="V6:Y6"/>
    <mergeCell ref="Z6:AE6"/>
  </mergeCells>
  <printOptions horizontalCentered="1"/>
  <pageMargins left="0.18" right="0.196850393700787" top="0.196850393700787" bottom="0.196850393700787" header="0.196850393700787" footer="0.196850393700787"/>
  <pageSetup paperSize="9"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PL3 - Giao XP 2026</vt:lpstr>
      <vt:lpstr>'PL3 - Giao XP 2026'!Print_Area</vt:lpstr>
      <vt:lpstr>'PL3 - Giao XP 2026'!Print_Titles</vt:lpstr>
    </vt:vector>
  </TitlesOfParts>
  <Company>TCT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Linh Nguyen</dc:creator>
  <cp:lastModifiedBy>Manh Linh Nguyen</cp:lastModifiedBy>
  <dcterms:created xsi:type="dcterms:W3CDTF">2026-09-18T02:40:02Z</dcterms:created>
  <dcterms:modified xsi:type="dcterms:W3CDTF">2026-09-18T02:41:16Z</dcterms:modified>
</cp:coreProperties>
</file>