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OOGLE DRIVE\"/>
    </mc:Choice>
  </mc:AlternateContent>
  <xr:revisionPtr revIDLastSave="0" documentId="13_ncr:1_{D7C717FA-F173-40FB-9871-7611A27F04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o thu 2016-2025" sheetId="1" r:id="rId1"/>
  </sheets>
  <externalReferences>
    <externalReference r:id="rId2"/>
  </externalReferences>
  <definedNames>
    <definedName name="_____________________________________________________a1" hidden="1">{"'Sheet1'!$L$16"}</definedName>
    <definedName name="____________________________________________________a1" hidden="1">{"'Sheet1'!$L$16"}</definedName>
    <definedName name="____________________________________________________PA3" hidden="1">{"'Sheet1'!$L$16"}</definedName>
    <definedName name="___________________________________________________a1" hidden="1">{"'Sheet1'!$L$16"}</definedName>
    <definedName name="___________________________________________________DT12" hidden="1">{"'Sheet1'!$L$16"}</definedName>
    <definedName name="___________________________________________________PA3" hidden="1">{"'Sheet1'!$L$16"}</definedName>
    <definedName name="__________________________________________________DT12" hidden="1">{"'Sheet1'!$L$16"}</definedName>
    <definedName name="__________________________________________________PA3" hidden="1">{"'Sheet1'!$L$16"}</definedName>
    <definedName name="_________________________________________________a1" hidden="1">{"'Sheet1'!$L$16"}</definedName>
    <definedName name="_________________________________________________DT12" hidden="1">{"'Sheet1'!$L$16"}</definedName>
    <definedName name="________________________________________________PA3" hidden="1">{"'Sheet1'!$L$16"}</definedName>
    <definedName name="_______________________________________________a1" hidden="1">{"'Sheet1'!$L$16"}</definedName>
    <definedName name="_______________________________________________DT12" hidden="1">{"'Sheet1'!$L$16"}</definedName>
    <definedName name="______________________________________________PA3" hidden="1">{"'Sheet1'!$L$16"}</definedName>
    <definedName name="_____________________________________________a1" hidden="1">{"'Sheet1'!$L$16"}</definedName>
    <definedName name="_____________________________________________DT12" hidden="1">{"'Sheet1'!$L$16"}</definedName>
    <definedName name="____________________________________________a1" hidden="1">{"'Sheet1'!$L$16"}</definedName>
    <definedName name="____________________________________________PA3" hidden="1">{"'Sheet1'!$L$16"}</definedName>
    <definedName name="___________________________________________a1" hidden="1">{"'Sheet1'!$L$16"}</definedName>
    <definedName name="___________________________________________DT12" hidden="1">{"'Sheet1'!$L$16"}</definedName>
    <definedName name="___________________________________________PA3" hidden="1">{"'Sheet1'!$L$16"}</definedName>
    <definedName name="__________________________________________a1" hidden="1">{"'Sheet1'!$L$16"}</definedName>
    <definedName name="__________________________________________DT12" hidden="1">{"'Sheet1'!$L$16"}</definedName>
    <definedName name="__________________________________________PA3" hidden="1">{"'Sheet1'!$L$16"}</definedName>
    <definedName name="_________________________________________a1" hidden="1">{"'Sheet1'!$L$16"}</definedName>
    <definedName name="_________________________________________DT12" hidden="1">{"'Sheet1'!$L$16"}</definedName>
    <definedName name="_________________________________________PA3" hidden="1">{"'Sheet1'!$L$16"}</definedName>
    <definedName name="________________________________________a1" hidden="1">{"'Sheet1'!$L$16"}</definedName>
    <definedName name="________________________________________DT12" hidden="1">{"'Sheet1'!$L$16"}</definedName>
    <definedName name="________________________________________PA3" hidden="1">{"'Sheet1'!$L$16"}</definedName>
    <definedName name="_______________________________________a1" hidden="1">{"'Sheet1'!$L$16"}</definedName>
    <definedName name="_______________________________________DT12" hidden="1">{"'Sheet1'!$L$16"}</definedName>
    <definedName name="_______________________________________PA3" hidden="1">{"'Sheet1'!$L$16"}</definedName>
    <definedName name="______________________________________a1" hidden="1">{"'Sheet1'!$L$16"}</definedName>
    <definedName name="______________________________________DT12" hidden="1">{"'Sheet1'!$L$16"}</definedName>
    <definedName name="______________________________________PA3" hidden="1">{"'Sheet1'!$L$16"}</definedName>
    <definedName name="_____________________________________a1" hidden="1">{"'Sheet1'!$L$16"}</definedName>
    <definedName name="_____________________________________DT12" hidden="1">{"'Sheet1'!$L$16"}</definedName>
    <definedName name="_____________________________________PA3" hidden="1">{"'Sheet1'!$L$16"}</definedName>
    <definedName name="____________________________________a1" hidden="1">{"'Sheet1'!$L$16"}</definedName>
    <definedName name="____________________________________DT12" hidden="1">{"'Sheet1'!$L$16"}</definedName>
    <definedName name="____________________________________PA3" hidden="1">{"'Sheet1'!$L$16"}</definedName>
    <definedName name="___________________________________a1" hidden="1">{"'Sheet1'!$L$16"}</definedName>
    <definedName name="___________________________________DT12" hidden="1">{"'Sheet1'!$L$16"}</definedName>
    <definedName name="___________________________________PA3" hidden="1">{"'Sheet1'!$L$16"}</definedName>
    <definedName name="__________________________________a1" hidden="1">{"'Sheet1'!$L$16"}</definedName>
    <definedName name="__________________________________DT12" hidden="1">{"'Sheet1'!$L$16"}</definedName>
    <definedName name="__________________________________PA3" hidden="1">{"'Sheet1'!$L$16"}</definedName>
    <definedName name="_________________________________a1" hidden="1">{"'Sheet1'!$L$16"}</definedName>
    <definedName name="_________________________________DT12" hidden="1">{"'Sheet1'!$L$16"}</definedName>
    <definedName name="_________________________________PA3" hidden="1">{"'Sheet1'!$L$16"}</definedName>
    <definedName name="________________________________a1" hidden="1">{"'Sheet1'!$L$16"}</definedName>
    <definedName name="________________________________DT12" hidden="1">{"'Sheet1'!$L$16"}</definedName>
    <definedName name="________________________________PA3" hidden="1">{"'Sheet1'!$L$16"}</definedName>
    <definedName name="_______________________________a1" hidden="1">{"'Sheet1'!$L$16"}</definedName>
    <definedName name="_______________________________DT12" hidden="1">{"'Sheet1'!$L$16"}</definedName>
    <definedName name="_______________________________PA3" hidden="1">{"'Sheet1'!$L$16"}</definedName>
    <definedName name="______________________________a1" hidden="1">{"'Sheet1'!$L$16"}</definedName>
    <definedName name="______________________________DT12" hidden="1">{"'Sheet1'!$L$16"}</definedName>
    <definedName name="______________________________PA3" hidden="1">{"'Sheet1'!$L$16"}</definedName>
    <definedName name="_____________________________a1" hidden="1">{"'Sheet1'!$L$16"}</definedName>
    <definedName name="_____________________________DT12" hidden="1">{"'Sheet1'!$L$16"}</definedName>
    <definedName name="_____________________________PA3" hidden="1">{"'Sheet1'!$L$16"}</definedName>
    <definedName name="____________________________a1" hidden="1">{"'Sheet1'!$L$16"}</definedName>
    <definedName name="____________________________DT12" hidden="1">{"'Sheet1'!$L$16"}</definedName>
    <definedName name="____________________________PA3" hidden="1">{"'Sheet1'!$L$16"}</definedName>
    <definedName name="___________________________a1" hidden="1">{"'Sheet1'!$L$16"}</definedName>
    <definedName name="___________________________DT12" hidden="1">{"'Sheet1'!$L$16"}</definedName>
    <definedName name="___________________________PA3" hidden="1">{"'Sheet1'!$L$16"}</definedName>
    <definedName name="__________________________a1" hidden="1">{"'Sheet1'!$L$16"}</definedName>
    <definedName name="__________________________DT12" hidden="1">{"'Sheet1'!$L$16"}</definedName>
    <definedName name="__________________________PA3" hidden="1">{"'Sheet1'!$L$16"}</definedName>
    <definedName name="_________________________a1" hidden="1">{"'Sheet1'!$L$16"}</definedName>
    <definedName name="_________________________DT12" hidden="1">{"'Sheet1'!$L$16"}</definedName>
    <definedName name="_________________________PA3" hidden="1">{"'Sheet1'!$L$16"}</definedName>
    <definedName name="________________________a1" hidden="1">{"'Sheet1'!$L$16"}</definedName>
    <definedName name="________________________DT12" hidden="1">{"'Sheet1'!$L$16"}</definedName>
    <definedName name="________________________PA3" hidden="1">{"'Sheet1'!$L$16"}</definedName>
    <definedName name="_______________________a1" hidden="1">{"'Sheet1'!$L$16"}</definedName>
    <definedName name="_______________________DT12" hidden="1">{"'Sheet1'!$L$16"}</definedName>
    <definedName name="_______________________PA3" hidden="1">{"'Sheet1'!$L$16"}</definedName>
    <definedName name="______________________a1" hidden="1">{"'Sheet1'!$L$16"}</definedName>
    <definedName name="______________________DT12" hidden="1">{"'Sheet1'!$L$16"}</definedName>
    <definedName name="______________________PA3" hidden="1">{"'Sheet1'!$L$16"}</definedName>
    <definedName name="_____________________a1" hidden="1">{"'Sheet1'!$L$16"}</definedName>
    <definedName name="_____________________DT12" hidden="1">{"'Sheet1'!$L$16"}</definedName>
    <definedName name="_____________________PA3" hidden="1">{"'Sheet1'!$L$16"}</definedName>
    <definedName name="____________________a1" hidden="1">{"'Sheet1'!$L$16"}</definedName>
    <definedName name="____________________DT12" hidden="1">{"'Sheet1'!$L$16"}</definedName>
    <definedName name="____________________PA3" hidden="1">{"'Sheet1'!$L$16"}</definedName>
    <definedName name="___________________a1" hidden="1">{"'Sheet1'!$L$16"}</definedName>
    <definedName name="___________________DT12" hidden="1">{"'Sheet1'!$L$16"}</definedName>
    <definedName name="___________________PA3" hidden="1">{"'Sheet1'!$L$16"}</definedName>
    <definedName name="__________________a1" hidden="1">{"'Sheet1'!$L$16"}</definedName>
    <definedName name="__________________DT12" hidden="1">{"'Sheet1'!$L$16"}</definedName>
    <definedName name="__________________PA3" hidden="1">{"'Sheet1'!$L$16"}</definedName>
    <definedName name="_________________a1" hidden="1">{"'Sheet1'!$L$16"}</definedName>
    <definedName name="_________________DT12" hidden="1">{"'Sheet1'!$L$16"}</definedName>
    <definedName name="_________________PA3" hidden="1">{"'Sheet1'!$L$16"}</definedName>
    <definedName name="________________a1" hidden="1">{"'Sheet1'!$L$16"}</definedName>
    <definedName name="________________DT12" hidden="1">{"'Sheet1'!$L$16"}</definedName>
    <definedName name="________________PA3" hidden="1">{"'Sheet1'!$L$16"}</definedName>
    <definedName name="_______________a1" hidden="1">{"'Sheet1'!$L$16"}</definedName>
    <definedName name="_______________DT12" hidden="1">{"'Sheet1'!$L$16"}</definedName>
    <definedName name="_______________PA3" hidden="1">{"'Sheet1'!$L$16"}</definedName>
    <definedName name="______________a1" hidden="1">{"'Sheet1'!$L$16"}</definedName>
    <definedName name="______________DT12" hidden="1">{"'Sheet1'!$L$16"}</definedName>
    <definedName name="______________non1" hidden="1">{#N/A,#N/A,FALSE,"RECONC'L";#N/A,#N/A,FALSE,"WORKCAP";#N/A,#N/A,FALSE,"RECONC'L";#N/A,#N/A,FALSE,"ACCRUAL";#N/A,#N/A,FALSE,"DEBTOR";#N/A,#N/A,FALSE,"ADMALLOC"}</definedName>
    <definedName name="______________PA3" hidden="1">{"'Sheet1'!$L$16"}</definedName>
    <definedName name="_____________a1" hidden="1">{"'Sheet1'!$L$16"}</definedName>
    <definedName name="_____________DT12" hidden="1">{"'Sheet1'!$L$16"}</definedName>
    <definedName name="_____________non1" hidden="1">{#N/A,#N/A,FALSE,"RECONC'L";#N/A,#N/A,FALSE,"WORKCAP";#N/A,#N/A,FALSE,"RECONC'L";#N/A,#N/A,FALSE,"ACCRUAL";#N/A,#N/A,FALSE,"DEBTOR";#N/A,#N/A,FALSE,"ADMALLOC"}</definedName>
    <definedName name="_____________PA3" hidden="1">{"'Sheet1'!$L$16"}</definedName>
    <definedName name="_____________t2" hidden="1">{"'Sheet1'!$L$16"}</definedName>
    <definedName name="____________a1" hidden="1">{"'Sheet1'!$L$16"}</definedName>
    <definedName name="____________DT12" hidden="1">{"'Sheet1'!$L$16"}</definedName>
    <definedName name="____________non1" hidden="1">{#N/A,#N/A,FALSE,"RECONC'L";#N/A,#N/A,FALSE,"WORKCAP";#N/A,#N/A,FALSE,"RECONC'L";#N/A,#N/A,FALSE,"ACCRUAL";#N/A,#N/A,FALSE,"DEBTOR";#N/A,#N/A,FALSE,"ADMALLOC"}</definedName>
    <definedName name="____________PA3" hidden="1">{"'Sheet1'!$L$16"}</definedName>
    <definedName name="____________t2" hidden="1">{"'Sheet1'!$L$16"}</definedName>
    <definedName name="___________a1" hidden="1">{"'Sheet1'!$L$16"}</definedName>
    <definedName name="___________DT12" hidden="1">{"'Sheet1'!$L$16"}</definedName>
    <definedName name="___________Goi8" hidden="1">{"'Sheet1'!$L$16"}</definedName>
    <definedName name="___________h1" hidden="1">{"'Sheet1'!$L$16"}</definedName>
    <definedName name="___________h10" hidden="1">{#N/A,#N/A,FALSE,"Chi tiÆt"}</definedName>
    <definedName name="___________h2" hidden="1">{"'Sheet1'!$L$16"}</definedName>
    <definedName name="___________h3" hidden="1">{"'Sheet1'!$L$16"}</definedName>
    <definedName name="___________h5" hidden="1">{"'Sheet1'!$L$16"}</definedName>
    <definedName name="___________h6" hidden="1">{"'Sheet1'!$L$16"}</definedName>
    <definedName name="___________h7" hidden="1">{"'Sheet1'!$L$16"}</definedName>
    <definedName name="___________h8" hidden="1">{"'Sheet1'!$L$16"}</definedName>
    <definedName name="___________h9" hidden="1">{"'Sheet1'!$L$16"}</definedName>
    <definedName name="___________PA3" hidden="1">{"'Sheet1'!$L$16"}</definedName>
    <definedName name="___________t2" hidden="1">{"'Sheet1'!$L$16"}</definedName>
    <definedName name="__________a1" hidden="1">{"'Sheet1'!$L$16"}</definedName>
    <definedName name="__________DT12" hidden="1">{"'Sheet1'!$L$16"}</definedName>
    <definedName name="__________Goi8" hidden="1">{"'Sheet1'!$L$16"}</definedName>
    <definedName name="__________h1" hidden="1">{"'Sheet1'!$L$16"}</definedName>
    <definedName name="__________h10" hidden="1">{#N/A,#N/A,FALSE,"Chi tiÆt"}</definedName>
    <definedName name="__________h2" hidden="1">{"'Sheet1'!$L$16"}</definedName>
    <definedName name="__________h3" hidden="1">{"'Sheet1'!$L$16"}</definedName>
    <definedName name="__________h5" hidden="1">{"'Sheet1'!$L$16"}</definedName>
    <definedName name="__________h6" hidden="1">{"'Sheet1'!$L$16"}</definedName>
    <definedName name="__________h7" hidden="1">{"'Sheet1'!$L$16"}</definedName>
    <definedName name="__________h8" hidden="1">{"'Sheet1'!$L$16"}</definedName>
    <definedName name="__________h9" hidden="1">{"'Sheet1'!$L$16"}</definedName>
    <definedName name="__________non1" hidden="1">{#N/A,#N/A,FALSE,"RECONC'L";#N/A,#N/A,FALSE,"WORKCAP";#N/A,#N/A,FALSE,"RECONC'L";#N/A,#N/A,FALSE,"ACCRUAL";#N/A,#N/A,FALSE,"DEBTOR";#N/A,#N/A,FALSE,"ADMALLOC"}</definedName>
    <definedName name="__________PA3" hidden="1">{"'Sheet1'!$L$16"}</definedName>
    <definedName name="_________a1" hidden="1">{"'Sheet1'!$L$16"}</definedName>
    <definedName name="_________DT12" hidden="1">{"'Sheet1'!$L$16"}</definedName>
    <definedName name="_________Goi8" hidden="1">{"'Sheet1'!$L$16"}</definedName>
    <definedName name="_________h1" hidden="1">{"'Sheet1'!$L$16"}</definedName>
    <definedName name="_________h10" hidden="1">{#N/A,#N/A,FALSE,"Chi tiÆt"}</definedName>
    <definedName name="_________h2" hidden="1">{"'Sheet1'!$L$16"}</definedName>
    <definedName name="_________h3" hidden="1">{"'Sheet1'!$L$16"}</definedName>
    <definedName name="_________h5" hidden="1">{"'Sheet1'!$L$16"}</definedName>
    <definedName name="_________h6" hidden="1">{"'Sheet1'!$L$16"}</definedName>
    <definedName name="_________h7" hidden="1">{"'Sheet1'!$L$16"}</definedName>
    <definedName name="_________h8" hidden="1">{"'Sheet1'!$L$16"}</definedName>
    <definedName name="_________h9" hidden="1">{"'Sheet1'!$L$16"}</definedName>
    <definedName name="_________PA3" hidden="1">{"'Sheet1'!$L$16"}</definedName>
    <definedName name="_________t2" hidden="1">{"'Sheet1'!$L$16"}</definedName>
    <definedName name="________a1" hidden="1">{"'Sheet1'!$L$16"}</definedName>
    <definedName name="________DT12" hidden="1">{"'Sheet1'!$L$16"}</definedName>
    <definedName name="________non1" hidden="1">{#N/A,#N/A,FALSE,"RECONC'L";#N/A,#N/A,FALSE,"WORKCAP";#N/A,#N/A,FALSE,"RECONC'L";#N/A,#N/A,FALSE,"ACCRUAL";#N/A,#N/A,FALSE,"DEBTOR";#N/A,#N/A,FALSE,"ADMALLOC"}</definedName>
    <definedName name="________PA3" hidden="1">{"'Sheet1'!$L$16"}</definedName>
    <definedName name="_______a1" hidden="1">{"'Sheet1'!$L$16"}</definedName>
    <definedName name="_______DT12" hidden="1">{"'Sheet1'!$L$16"}</definedName>
    <definedName name="_______Goi8" hidden="1">{"'Sheet1'!$L$16"}</definedName>
    <definedName name="_______h1" hidden="1">{"'Sheet1'!$L$16"}</definedName>
    <definedName name="_______h10" hidden="1">{#N/A,#N/A,FALSE,"Chi tiÆt"}</definedName>
    <definedName name="_______h2" hidden="1">{"'Sheet1'!$L$16"}</definedName>
    <definedName name="_______h3" hidden="1">{"'Sheet1'!$L$16"}</definedName>
    <definedName name="_______h5" hidden="1">{"'Sheet1'!$L$16"}</definedName>
    <definedName name="_______h6" hidden="1">{"'Sheet1'!$L$16"}</definedName>
    <definedName name="_______h7" hidden="1">{"'Sheet1'!$L$16"}</definedName>
    <definedName name="_______h8" hidden="1">{"'Sheet1'!$L$16"}</definedName>
    <definedName name="_______h9" hidden="1">{"'Sheet1'!$L$16"}</definedName>
    <definedName name="_______PA3" hidden="1">{"'Sheet1'!$L$16"}</definedName>
    <definedName name="_______t2" hidden="1">{"'Sheet1'!$L$16"}</definedName>
    <definedName name="______a1" hidden="1">{"'Sheet1'!$L$16"}</definedName>
    <definedName name="______DT12" hidden="1">{"'Sheet1'!$L$16"}</definedName>
    <definedName name="______non1" hidden="1">{#N/A,#N/A,FALSE,"RECONC'L";#N/A,#N/A,FALSE,"WORKCAP";#N/A,#N/A,FALSE,"RECONC'L";#N/A,#N/A,FALSE,"ACCRUAL";#N/A,#N/A,FALSE,"DEBTOR";#N/A,#N/A,FALSE,"ADMALLOC"}</definedName>
    <definedName name="______PA3" hidden="1">{"'Sheet1'!$L$16"}</definedName>
    <definedName name="_____a1" hidden="1">{"'Sheet1'!$L$16"}</definedName>
    <definedName name="_____DT12" hidden="1">{"'Sheet1'!$L$16"}</definedName>
    <definedName name="_____Goi8" hidden="1">{"'Sheet1'!$L$16"}</definedName>
    <definedName name="_____h1" hidden="1">{"'Sheet1'!$L$16"}</definedName>
    <definedName name="_____h10" hidden="1">{#N/A,#N/A,FALSE,"Chi tiÆt"}</definedName>
    <definedName name="_____h2" hidden="1">{"'Sheet1'!$L$16"}</definedName>
    <definedName name="_____h3" hidden="1">{"'Sheet1'!$L$16"}</definedName>
    <definedName name="_____h5" hidden="1">{"'Sheet1'!$L$16"}</definedName>
    <definedName name="_____h6" hidden="1">{"'Sheet1'!$L$16"}</definedName>
    <definedName name="_____h7" hidden="1">{"'Sheet1'!$L$16"}</definedName>
    <definedName name="_____h8" hidden="1">{"'Sheet1'!$L$16"}</definedName>
    <definedName name="_____h9" hidden="1">{"'Sheet1'!$L$16"}</definedName>
    <definedName name="_____non1" hidden="1">{#N/A,#N/A,FALSE,"RECONC'L";#N/A,#N/A,FALSE,"WORKCAP";#N/A,#N/A,FALSE,"RECONC'L";#N/A,#N/A,FALSE,"ACCRUAL";#N/A,#N/A,FALSE,"DEBTOR";#N/A,#N/A,FALSE,"ADMALLOC"}</definedName>
    <definedName name="_____PA3" hidden="1">{"'Sheet1'!$L$16"}</definedName>
    <definedName name="_____t2" hidden="1">{"'Sheet1'!$L$16"}</definedName>
    <definedName name="____a1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Coc39" hidden="1">{"'Sheet1'!$L$16"}</definedName>
    <definedName name="____DT12" hidden="1">{"'Sheet1'!$L$16"}</definedName>
    <definedName name="____Goi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non1" hidden="1">{#N/A,#N/A,FALSE,"RECONC'L";#N/A,#N/A,FALSE,"WORKCAP";#N/A,#N/A,FALSE,"RECONC'L";#N/A,#N/A,FALSE,"ACCRUAL";#N/A,#N/A,FALSE,"DEBTOR";#N/A,#N/A,FALSE,"ADMALLOC"}</definedName>
    <definedName name="____PA3" hidden="1">{"'Sheet1'!$L$16"}</definedName>
    <definedName name="____t2" hidden="1">{"'Sheet1'!$L$16"}</definedName>
    <definedName name="____TK635" hidden="1">{"'Sheet1'!$L$16"}</definedName>
    <definedName name="____tt3" hidden="1">{"'Sheet1'!$L$16"}</definedName>
    <definedName name="___a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Coc39" hidden="1">{"'Sheet1'!$L$16"}</definedName>
    <definedName name="___d1500" hidden="1">{"'Sheet1'!$L$16"}</definedName>
    <definedName name="___DT12" hidden="1">{"'Sheet1'!$L$16"}</definedName>
    <definedName name="___f5" hidden="1">{"'Sheet1'!$L$16"}</definedName>
    <definedName name="___Goi8" hidden="1">{"'Sheet1'!$L$16"}</definedName>
    <definedName name="___h1" hidden="1">{"'Sheet1'!$L$16"}</definedName>
    <definedName name="___h10" hidden="1">{#N/A,#N/A,FALSE,"Chi tiÆt"}</definedName>
    <definedName name="___h2" hidden="1">{"'Sheet1'!$L$16"}</definedName>
    <definedName name="___h3" hidden="1">{"'Sheet1'!$L$16"}</definedName>
    <definedName name="___h5" hidden="1">{"'Sheet1'!$L$16"}</definedName>
    <definedName name="___h6" hidden="1">{"'Sheet1'!$L$16"}</definedName>
    <definedName name="___h7" hidden="1">{"'Sheet1'!$L$16"}</definedName>
    <definedName name="___h8" hidden="1">{"'Sheet1'!$L$16"}</definedName>
    <definedName name="___h9" hidden="1">{"'Sheet1'!$L$16"}</definedName>
    <definedName name="___Lan1" hidden="1">{"'Sheet1'!$L$16"}</definedName>
    <definedName name="___LAN3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nam1" hidden="1">{"'Sheet1'!$L$16"}</definedName>
    <definedName name="___nam3" hidden="1">{"'Sheet1'!$L$16"}</definedName>
    <definedName name="___non1" hidden="1">{#N/A,#N/A,FALSE,"RECONC'L";#N/A,#N/A,FALSE,"WORKCAP";#N/A,#N/A,FALSE,"RECONC'L";#N/A,#N/A,FALSE,"ACCRUAL";#N/A,#N/A,FALSE,"DEBTOR";#N/A,#N/A,FALSE,"ADMALLOC"}</definedName>
    <definedName name="___NSO2" hidden="1">{"'Sheet1'!$L$16"}</definedName>
    <definedName name="___PA3" hidden="1">{"'Sheet1'!$L$16"}</definedName>
    <definedName name="___t2" hidden="1">{"'Sheet1'!$L$16"}</definedName>
    <definedName name="___TK635" hidden="1">{"'Sheet1'!$L$16"}</definedName>
    <definedName name="___tt3" hidden="1">{"'Sheet1'!$L$16"}</definedName>
    <definedName name="__a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{#N/A,#N/A,FALSE,"Chi tiÆt"}</definedName>
    <definedName name="__Coc39" hidden="1">{"'Sheet1'!$L$16"}</definedName>
    <definedName name="__d1500" hidden="1">{"'Sheet1'!$L$16"}</definedName>
    <definedName name="__DT12" hidden="1">{"'Sheet1'!$L$16"}</definedName>
    <definedName name="__f5" hidden="1">{"'Sheet1'!$L$16"}</definedName>
    <definedName name="__Goi8" hidden="1">{"'Sheet1'!$L$16"}</definedName>
    <definedName name="__h1" hidden="1">{"'Sheet1'!$L$16"}</definedName>
    <definedName name="__h10" hidden="1">{#N/A,#N/A,FALSE,"Chi tiÆt"}</definedName>
    <definedName name="__h2" hidden="1">{"'Sheet1'!$L$16"}</definedName>
    <definedName name="__h3" hidden="1">{"'Sheet1'!$L$16"}</definedName>
    <definedName name="__h5" hidden="1">{"'Sheet1'!$L$16"}</definedName>
    <definedName name="__h6" hidden="1">{"'Sheet1'!$L$16"}</definedName>
    <definedName name="__h7" hidden="1">{"'Sheet1'!$L$16"}</definedName>
    <definedName name="__h8" hidden="1">{"'Sheet1'!$L$16"}</definedName>
    <definedName name="__h9" hidden="1">{"'Sheet1'!$L$16"}</definedName>
    <definedName name="__IntlFixup" hidden="1">TRUE</definedName>
    <definedName name="__Lan1" hidden="1">{"'Sheet1'!$L$16"}</definedName>
    <definedName name="__LAN3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nam1" hidden="1">{"'Sheet1'!$L$16"}</definedName>
    <definedName name="__nam2" hidden="1">{#N/A,#N/A,FALSE,"Chi tiÆt"}</definedName>
    <definedName name="__nam3" hidden="1">{"'Sheet1'!$L$16"}</definedName>
    <definedName name="__nh2" hidden="1">{#N/A,#N/A,FALSE,"Chi tiÆt"}</definedName>
    <definedName name="__non1" hidden="1">{#N/A,#N/A,FALSE,"RECONC'L";#N/A,#N/A,FALSE,"WORKCAP";#N/A,#N/A,FALSE,"RECONC'L";#N/A,#N/A,FALSE,"ACCRUAL";#N/A,#N/A,FALSE,"DEBTOR";#N/A,#N/A,FALSE,"ADMALLOC"}</definedName>
    <definedName name="__NSO2" hidden="1">{"'Sheet1'!$L$16"}</definedName>
    <definedName name="__PA3" hidden="1">{"'Sheet1'!$L$16"}</definedName>
    <definedName name="__t2" hidden="1">{"'Sheet1'!$L$16"}</definedName>
    <definedName name="__tt3" hidden="1">{"'Sheet1'!$L$16"}</definedName>
    <definedName name="_1">#N/A</definedName>
    <definedName name="_1000A01">#N/A</definedName>
    <definedName name="_2">#N/A</definedName>
    <definedName name="_a1" hidden="1">{"'Sheet1'!$L$16"}</definedName>
    <definedName name="_a1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{#N/A,#N/A,FALSE,"Chi tiÆt"}</definedName>
    <definedName name="_boi1">#REF!</definedName>
    <definedName name="_boi2">#REF!</definedName>
    <definedName name="_C_Lphi_4ab">#REF!</definedName>
    <definedName name="_Coc39" hidden="1">{"'Sheet1'!$L$16"}</definedName>
    <definedName name="_CON1">#REF!</definedName>
    <definedName name="_CON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d1500" hidden="1">{"'Sheet1'!$L$16"}</definedName>
    <definedName name="_ddn400">#REF!</definedName>
    <definedName name="_ddn600">#REF!</definedName>
    <definedName name="_DT12" hidden="1">{"'Sheet1'!$L$16"}</definedName>
    <definedName name="_f5" hidden="1">{"'Sheet1'!$L$16"}</definedName>
    <definedName name="_Fill" hidden="1">#REF!</definedName>
    <definedName name="_xlnm._FilterDatabase" localSheetId="0" hidden="1">'So thu 2016-2025'!$A$5:$W$56</definedName>
    <definedName name="_xlnm._FilterDatabase" hidden="1">#REF!</definedName>
    <definedName name="_Goi8" hidden="1">{"'Sheet1'!$L$16"}</definedName>
    <definedName name="_h1" hidden="1">{"'Sheet1'!$L$16"}</definedName>
    <definedName name="_h10" hidden="1">{#N/A,#N/A,FALSE,"Chi tiÆt"}</definedName>
    <definedName name="_h2" hidden="1">{"'Sheet1'!$L$16"}</definedName>
    <definedName name="_h3" hidden="1">{"'Sheet1'!$L$16"}</definedName>
    <definedName name="_h5" hidden="1">{"'Sheet1'!$L$16"}</definedName>
    <definedName name="_h6" hidden="1">{"'Sheet1'!$L$16"}</definedName>
    <definedName name="_h7" hidden="1">{"'Sheet1'!$L$16"}</definedName>
    <definedName name="_h8" hidden="1">{"'Sheet1'!$L$16"}</definedName>
    <definedName name="_h9" hidden="1">{"'Sheet1'!$L$16"}</definedName>
    <definedName name="_hsm2">1.1289</definedName>
    <definedName name="_hso2">#REF!</definedName>
    <definedName name="_Key1" hidden="1">#REF!</definedName>
    <definedName name="_Key2" hidden="1">#REF!</definedName>
    <definedName name="_kha1">#REF!</definedName>
    <definedName name="_Lan1" hidden="1">{"'Sheet1'!$L$16"}</definedName>
    <definedName name="_LAN3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AC12">#REF!</definedName>
    <definedName name="_MAC46">#REF!</definedName>
    <definedName name="_nam1" hidden="1">{"'Sheet1'!$L$16"}</definedName>
    <definedName name="_nam2" hidden="1">{#N/A,#N/A,FALSE,"Chi tiÆt"}</definedName>
    <definedName name="_nam3" hidden="1">{"'Sheet1'!$L$16"}</definedName>
    <definedName name="_NCL100">#REF!</definedName>
    <definedName name="_NCL200">#REF!</definedName>
    <definedName name="_NCL250">#REF!</definedName>
    <definedName name="_NET2">#REF!</definedName>
    <definedName name="_nh2" hidden="1">{#N/A,#N/A,FALSE,"Chi tiÆt"}</definedName>
    <definedName name="_nin190">#REF!</definedName>
    <definedName name="_non1" hidden="1">{#N/A,#N/A,FALSE,"RECONC'L";#N/A,#N/A,FALSE,"WORKCAP";#N/A,#N/A,FALSE,"RECONC'L";#N/A,#N/A,FALSE,"ACCRUAL";#N/A,#N/A,FALSE,"DEBTOR";#N/A,#N/A,FALSE,"ADMALLOC"}</definedName>
    <definedName name="_NSO2" hidden="1">{"'Sheet1'!$L$16"}</definedName>
    <definedName name="_Order1" hidden="1">255</definedName>
    <definedName name="_Order2" hidden="1">255</definedName>
    <definedName name="_PA3" hidden="1">{"'Sheet1'!$L$16"}</definedName>
    <definedName name="_PA31" hidden="1">{"'Sheet1'!$L$16"}</definedName>
    <definedName name="_PA4" hidden="1">{"'Sheet1'!$L$16"}</definedName>
    <definedName name="_PA5" hidden="1">{"'Sheet1'!$L$16"}</definedName>
    <definedName name="_Parse_Out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2" hidden="1">{"'Sheet1'!$L$16"}</definedName>
    <definedName name="_TK635" hidden="1">{"'Sheet1'!$L$16"}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t3" hidden="1">{"'Sheet1'!$L$16"}</definedName>
    <definedName name="_tz593">#REF!</definedName>
    <definedName name="_VL100">#REF!</definedName>
    <definedName name="_VL25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aaaa" hidden="1">{"'Sheet1'!$L$16"}</definedName>
    <definedName name="aaaaaaaaaa" hidden="1">{"'Sheet1'!$L$16"}</definedName>
    <definedName name="AB">#REF!</definedName>
    <definedName name="abcdef" hidden="1">{"'Sheet1'!$L$16"}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b" hidden="1">{"'Sheet1'!$L$16"}</definedName>
    <definedName name="ad" hidden="1">{"'Sheet1'!$L$16"}</definedName>
    <definedName name="add" hidden="1">{"'Sheet1'!$L$16"}</definedName>
    <definedName name="ádf" hidden="1">{#N/A,#N/A,FALSE,"Chi tiÆt"}</definedName>
    <definedName name="ADP">#REF!</definedName>
    <definedName name="ADSDDDDDDDDDDDDDDDDDDDDDDD" hidden="1">{"'Sheet1'!$L$16"}</definedName>
    <definedName name="ae" hidden="1">{"'Sheet1'!$L$16"}</definedName>
    <definedName name="ag15F80">#REF!</definedName>
    <definedName name="AKHAC">#REF!</definedName>
    <definedName name="All_Item">#REF!</definedName>
    <definedName name="ALPIN">#N/A</definedName>
    <definedName name="ALPJYOU">#N/A</definedName>
    <definedName name="ALPTOI">#N/A</definedName>
    <definedName name="ALTINH">#REF!</definedName>
    <definedName name="ANN">#REF!</definedName>
    <definedName name="ANQD">#REF!</definedName>
    <definedName name="anscount" hidden="1">3</definedName>
    <definedName name="Antoan" hidden="1">{"'Sheet1'!$L$16"}</definedName>
    <definedName name="AS2DocOpenMode" hidden="1">"AS2DocumentEdit"</definedName>
    <definedName name="asss" hidden="1">{"'Sheet1'!$L$16"}</definedName>
    <definedName name="ATW">#REF!</definedName>
    <definedName name="B_n_tuyÓn_than_Cöa__ng">"tco"</definedName>
    <definedName name="BB">#REF!</definedName>
    <definedName name="bbkt">#REF!</definedName>
    <definedName name="bbtc">#REF!</definedName>
    <definedName name="BCBo" hidden="1">{"'Sheet1'!$L$16"}</definedName>
    <definedName name="bé_giao_th_ng">#REF!</definedName>
    <definedName name="bé_x_y_dùng">#REF!</definedName>
    <definedName name="Bgiang" hidden="1">{"'Sheet1'!$L$16"}</definedName>
    <definedName name="BOQ">#REF!</definedName>
    <definedName name="BT">#REF!</definedName>
    <definedName name="BVCISUMMARY">#REF!</definedName>
    <definedName name="C_">#REF!</definedName>
    <definedName name="c_n">#REF!</definedName>
    <definedName name="Capvon" hidden="1">{#N/A,#N/A,FALSE,"Chi tiÆt"}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TH" hidden="1">{"'Sheet1'!$L$16"}</definedName>
    <definedName name="CCS">#REF!</definedName>
    <definedName name="CDD">#REF!</definedName>
    <definedName name="cfk">#REF!</definedName>
    <definedName name="chi_tiÕt_vËt_liÖu___nh_n_c_ng___m_y_thi_c_ng">#REF!</definedName>
    <definedName name="Chiettinh" hidden="1">{"'Sheet1'!$L$16"}</definedName>
    <definedName name="chilk" hidden="1">{"'Sheet1'!$L$16"}</definedName>
    <definedName name="chungloainhapthan">#REF!</definedName>
    <definedName name="chungloaiXNT">#REF!</definedName>
    <definedName name="chungloaixuatthan">#REF!</definedName>
    <definedName name="CK">#REF!</definedName>
    <definedName name="CLVC3">0.1</definedName>
    <definedName name="CLVCTB">#REF!</definedName>
    <definedName name="CLVL">#REF!</definedName>
    <definedName name="Co">#REF!</definedName>
    <definedName name="co.">#REF!</definedName>
    <definedName name="co..">#REF!</definedName>
    <definedName name="Coc_60" hidden="1">{"'Sheet1'!$L$16"}</definedName>
    <definedName name="Cöï_ly_vaän_chuyeãn">#REF!</definedName>
    <definedName name="CÖÏ_LY_VAÄN_CHUYEÅN">#REF!</definedName>
    <definedName name="COMMON">#REF!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s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COVER">#REF!</definedName>
    <definedName name="CPC">#REF!</definedName>
    <definedName name="CPVC100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_50">#REF!</definedName>
    <definedName name="CT_MCX">#REF!</definedName>
    <definedName name="CTCT1" hidden="1">{"'Sheet1'!$L$16"}</definedName>
    <definedName name="CTCT2" hidden="1">{"'Sheet1'!$L$16"}</definedName>
    <definedName name="ctiep">#REF!</definedName>
    <definedName name="cu">#REF!</definedName>
    <definedName name="cu_ly">#REF!</definedName>
    <definedName name="CuLy">#REF!</definedName>
    <definedName name="CuLy_Q">#REF!</definedName>
    <definedName name="cuoc_vc">#REF!</definedName>
    <definedName name="CuocVC">#REF!</definedName>
    <definedName name="CURRENCY">#REF!</definedName>
    <definedName name="CVC_Q">#REF!</definedName>
    <definedName name="cx">#REF!</definedName>
    <definedName name="d" hidden="1">{"'Sheet1'!$L$16"}</definedName>
    <definedName name="d_">#REF!</definedName>
    <definedName name="D_7101A_B">#REF!</definedName>
    <definedName name="D_n">#REF!</definedName>
    <definedName name="da">#REF!</definedName>
    <definedName name="dam_24">#REF!</definedName>
    <definedName name="DamNgang">#REF!</definedName>
    <definedName name="danhmuc">#REF!</definedName>
    <definedName name="danhmucN">#REF!</definedName>
    <definedName name="data">#REF!</definedName>
    <definedName name="data1">#REF!</definedName>
    <definedName name="Data11">#REF!</definedName>
    <definedName name="Data41">#REF!</definedName>
    <definedName name="data5">#REF!</definedName>
    <definedName name="data6">#REF!</definedName>
    <definedName name="data7">#REF!</definedName>
    <definedName name="data8">#REF!</definedName>
    <definedName name="_xlnm.Database">#REF!</definedName>
    <definedName name="dau" hidden="1">{"'Sheet1'!$L$16"}</definedName>
    <definedName name="DB">[1]LIST!$D$2:$D$31</definedName>
    <definedName name="den_bu">#REF!</definedName>
    <definedName name="df">#REF!</definedName>
    <definedName name="dg">#REF!</definedName>
    <definedName name="dg_5cau">#REF!</definedName>
    <definedName name="DG_M_C_X">#REF!</definedName>
    <definedName name="dgc">#REF!</definedName>
    <definedName name="DGCT_T.Quy_P.Thuy_Q">#REF!</definedName>
    <definedName name="DGCT_TRAUQUYPHUTHUY_HN">#REF!</definedName>
    <definedName name="dgd">#REF!</definedName>
    <definedName name="DGIA">#REF!</definedName>
    <definedName name="DGIA2">#REF!</definedName>
    <definedName name="DGTH">#REF!</definedName>
    <definedName name="dgvl">#REF!</definedName>
    <definedName name="DIABAN">[1]LIST!$C$2:$C$31</definedName>
    <definedName name="dien">#REF!</definedName>
    <definedName name="dienluc" hidden="1">{#N/A,#N/A,FALSE,"Chi tiÆt"}</definedName>
    <definedName name="dmld">#REF!</definedName>
    <definedName name="doanh_nghiÖp_tØnh">#REF!</definedName>
    <definedName name="Document_array">{"ÿÿÿÿÿ"}</definedName>
    <definedName name="Dot" hidden="1">{"'Sheet1'!$L$16"}</definedName>
    <definedName name="dry..">#REF!</definedName>
    <definedName name="ds1pnc">#REF!</definedName>
    <definedName name="ds1pvl">#REF!</definedName>
    <definedName name="ds3pnc">#REF!</definedName>
    <definedName name="ds3pvl">#REF!</definedName>
    <definedName name="DSUMDATA">#REF!</definedName>
    <definedName name="dt10.1" hidden="1">{"'Sheet1'!$L$16"}</definedName>
    <definedName name="DT12Dluc" hidden="1">{"'Sheet1'!$L$16"}</definedName>
    <definedName name="DT12HoangThach" hidden="1">{"'Sheet1'!$L$16"}</definedName>
    <definedName name="DT17moi" hidden="1">{"'Sheet1'!$L$16"}</definedName>
    <definedName name="DT8.1" hidden="1">{"'Sheet1'!$L$16"}</definedName>
    <definedName name="DT8.2" hidden="1">{"'Sheet1'!$L$16"}</definedName>
    <definedName name="dt9.1" hidden="1">{#N/A,#N/A,FALSE,"Chi tiÆt"}</definedName>
    <definedName name="dtoan" hidden="1">{#N/A,#N/A,FALSE,"Chi tiÆt"}</definedName>
    <definedName name="dtru">#REF!</definedName>
    <definedName name="DUCANH" hidden="1">{"'Sheet1'!$L$16"}</definedName>
    <definedName name="dung">#REF!</definedName>
    <definedName name="dung1">#REF!</definedName>
    <definedName name="dungkh" hidden="1">{"'Sheet1'!$L$16"}</definedName>
    <definedName name="duongvt" hidden="1">{"'Sheet1'!$L$16"}</definedName>
    <definedName name="DWPRICE" hidden="1">#REF!</definedName>
    <definedName name="e" hidden="1">{"'Sheet1'!$L$16"}</definedName>
    <definedName name="Ea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X">#REF!</definedName>
    <definedName name="EXC">#REF!</definedName>
    <definedName name="EXCH">#REF!</definedName>
    <definedName name="_xlnm.Extract">#REF!</definedName>
    <definedName name="f82E46">#REF!</definedName>
    <definedName name="f92F56">#REF!</definedName>
    <definedName name="FACTOR">#REF!</definedName>
    <definedName name="Fax">#REF!</definedName>
    <definedName name="Fay">#REF!</definedName>
    <definedName name="fc">#REF!</definedName>
    <definedName name="fc_">#REF!</definedName>
    <definedName name="FC5_total">#REF!</definedName>
    <definedName name="FC6_total">#REF!</definedName>
    <definedName name="Fdaymong">#REF!</definedName>
    <definedName name="fdfsf" hidden="1">{#N/A,#N/A,FALSE,"Chi tiÆt"}</definedName>
    <definedName name="fff" hidden="1">{"'Sheet1'!$L$16"}</definedName>
    <definedName name="Fg">#REF!</definedName>
    <definedName name="FGFGH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fr" hidden="1">{"'Sheet1'!$L$16"}</definedName>
    <definedName name="FS">#REF!</definedName>
    <definedName name="fsd" hidden="1">{"'Sheet1'!$L$16"}</definedName>
    <definedName name="fsdfdsf" hidden="1">{"'Sheet1'!$L$16"}</definedName>
    <definedName name="fsdg" hidden="1">{"'Sheet1'!$L$16"}</definedName>
    <definedName name="fy">#REF!</definedName>
    <definedName name="Fy_">#REF!</definedName>
    <definedName name="g_">#REF!</definedName>
    <definedName name="gas">#REF!</definedName>
    <definedName name="gchi">#REF!</definedName>
    <definedName name="gd">#REF!</definedName>
    <definedName name="geff">#REF!</definedName>
    <definedName name="gia_tien">#REF!</definedName>
    <definedName name="gia_tien_BTN">#REF!</definedName>
    <definedName name="giatrinhap">#REF!</definedName>
    <definedName name="GIAVL_TRALY">#REF!</definedName>
    <definedName name="gkGTGT">#REF!</definedName>
    <definedName name="gl3p">#REF!</definedName>
    <definedName name="gld">#REF!</definedName>
    <definedName name="GO.110">#REF!</definedName>
    <definedName name="GO.25">#REF!</definedName>
    <definedName name="GO.39">#REF!</definedName>
    <definedName name="GO.52">#REF!</definedName>
    <definedName name="GO.65">#REF!</definedName>
    <definedName name="GO.81">#REF!</definedName>
    <definedName name="GO.9">#REF!</definedName>
    <definedName name="gs">#REF!</definedName>
    <definedName name="gse">#REF!</definedName>
    <definedName name="gtc">#REF!</definedName>
    <definedName name="GTRI">#REF!</definedName>
    <definedName name="GTXL">#REF!</definedName>
    <definedName name="GVL_LDT">#REF!</definedName>
    <definedName name="gxm">#REF!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ai" hidden="1">{"'Sheet1'!$L$16"}</definedName>
    <definedName name="HANG" hidden="1">{#N/A,#N/A,FALSE,"Chi tiÆt"}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CM">#REF!</definedName>
    <definedName name="Heä_soá_laép_xaø_H">1.7</definedName>
    <definedName name="heä_soá_sình_laày">#REF!</definedName>
    <definedName name="hfdsh" hidden="1">#REF!</definedName>
    <definedName name="Hg">#REF!</definedName>
    <definedName name="hien">#REF!</definedName>
    <definedName name="HIHIHIHOI" hidden="1">{"'Sheet1'!$L$16"}</definedName>
    <definedName name="hjjkl" hidden="1">{"'Sheet1'!$L$16"}</definedName>
    <definedName name="HJKL" hidden="1">{"'Sheet1'!$L$16"}</definedName>
    <definedName name="Ho">#REF!</definedName>
    <definedName name="HOME_MANP">#REF!</definedName>
    <definedName name="HOMEOFFICE_COST">#REF!</definedName>
    <definedName name="HSCT3">0.1</definedName>
    <definedName name="hsdc1">#REF!</definedName>
    <definedName name="HSDN">2.5</definedName>
    <definedName name="HSGG">#REF!</definedName>
    <definedName name="HSHH">#REF!</definedName>
    <definedName name="HSHHUT">#REF!</definedName>
    <definedName name="hsm">1.1289</definedName>
    <definedName name="hsnc_cau2">1.626</definedName>
    <definedName name="hsnc_d">1.6356</definedName>
    <definedName name="hsnc_d2">1.6356</definedName>
    <definedName name="hso">#REF!</definedName>
    <definedName name="HSSL">#REF!</definedName>
    <definedName name="HSVC1">#REF!</definedName>
    <definedName name="HSVC2">#REF!</definedName>
    <definedName name="HSVC3">#REF!</definedName>
    <definedName name="hsvl">1</definedName>
    <definedName name="htlm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T" hidden="1">{"'Sheet1'!$L$16"}</definedName>
    <definedName name="HTMT1" hidden="1">{#N/A,#N/A,FALSE,"Sheet1"}</definedName>
    <definedName name="HTNC">#REF!</definedName>
    <definedName name="HTVL">#REF!</definedName>
    <definedName name="hui" hidden="1">{"'Sheet1'!$L$16"}</definedName>
    <definedName name="hung" hidden="1">{"'Sheet1'!$L$16"}</definedName>
    <definedName name="huy" hidden="1">{"'Sheet1'!$L$16"}</definedName>
    <definedName name="I">#REF!</definedName>
    <definedName name="I_A">#REF!</definedName>
    <definedName name="I_B">#REF!</definedName>
    <definedName name="I_c">#REF!</definedName>
    <definedName name="IDLAB_COST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ND_LAB">#REF!</definedName>
    <definedName name="INDMANP">#REF!</definedName>
    <definedName name="iÖn_lùc_Qu_ng_ninh">#REF!</definedName>
    <definedName name="J">#REF!</definedName>
    <definedName name="j356C8">#REF!</definedName>
    <definedName name="jlsdghf" hidden="1">{"'Sheet1'!$L$16"}</definedName>
    <definedName name="k">#REF!</definedName>
    <definedName name="KBNN">[1]LIST!$A$2:$A$31</definedName>
    <definedName name="kcong">#REF!</definedName>
    <definedName name="kdien">#REF!</definedName>
    <definedName name="kh">#REF!</definedName>
    <definedName name="kha">#REF!</definedName>
    <definedName name="kiem">#REF!</definedName>
    <definedName name="Kiem_tra_trung_ten">#REF!</definedName>
    <definedName name="kjgjyhb" hidden="1">{"Offgrid",#N/A,FALSE,"OFFGRID";"Region",#N/A,FALSE,"REGION";"Offgrid -2",#N/A,FALSE,"OFFGRID";"WTP",#N/A,FALSE,"WTP";"WTP -2",#N/A,FALSE,"WTP";"Project",#N/A,FALSE,"PROJECT";"Summary -2",#N/A,FALSE,"SUMMARY"}</definedName>
    <definedName name="KLduonggiaods" hidden="1">{"'Sheet1'!$L$16"}</definedName>
    <definedName name="kp1ph">#REF!</definedName>
    <definedName name="Ks">#REF!</definedName>
    <definedName name="l_1">#REF!</definedName>
    <definedName name="l2pa1" hidden="1">{"'Sheet1'!$L$16"}</definedName>
    <definedName name="Laivay">#REF!</definedName>
    <definedName name="lan" hidden="1">{"'Sheet1'!$L$16"}</definedName>
    <definedName name="Lb">#REF!</definedName>
    <definedName name="LC5_total">#REF!</definedName>
    <definedName name="LC6_total">#REF!</definedName>
    <definedName name="Lmk">#REF!</definedName>
    <definedName name="LN">#REF!</definedName>
    <definedName name="LOAI_DUONG">#REF!</definedName>
    <definedName name="ltre">#REF!</definedName>
    <definedName name="luc" hidden="1">{"'Sheet1'!$L$16"}</definedName>
    <definedName name="lv..">#REF!</definedName>
    <definedName name="lvr..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ang">#REF!</definedName>
    <definedName name="MaHaRangNam">#REF!</definedName>
    <definedName name="MaHaRangTuan">#REF!</definedName>
    <definedName name="mai" hidden="1">{"'Sheet1'!$L$16"}</definedName>
    <definedName name="MAJ_CON_EQP">#REF!</definedName>
    <definedName name="MaMay_Q">#REF!</definedName>
    <definedName name="mangay">#REF!</definedName>
    <definedName name="matbang" hidden="1">{"'Sheet1'!$L$16"}</definedName>
    <definedName name="mathang">#REF!</definedName>
    <definedName name="MaThanhToanNB">#REF!</definedName>
    <definedName name="MaTuan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e">#REF!</definedName>
    <definedName name="MG_A">#REF!</definedName>
    <definedName name="minh" hidden="1">{"'Sheet1'!$L$16"}</definedName>
    <definedName name="mj" hidden="1">{"'Sheet1'!$L$16"}</definedName>
    <definedName name="Mn">#REF!</definedName>
    <definedName name="mo" hidden="1">{"'Sheet1'!$L$16"}</definedName>
    <definedName name="MTMAC12">#REF!</definedName>
    <definedName name="mtram">#REF!</definedName>
    <definedName name="Mu">#REF!</definedName>
    <definedName name="Mu_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m" hidden="1">{"'Sheet1'!$L$16"}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ht">#REF!</definedName>
    <definedName name="NH">#REF!</definedName>
    <definedName name="nhapthan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{"'Sheet1'!$L$16"}</definedName>
    <definedName name="nnvl3p">#REF!</definedName>
    <definedName name="No">#REF!</definedName>
    <definedName name="non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Nq">#REF!</definedName>
    <definedName name="oxy">#REF!</definedName>
    <definedName name="PA">#REF!</definedName>
    <definedName name="PA3.1" hidden="1">{"'Sheet1'!$L$16"}</definedName>
    <definedName name="Pd">#REF!</definedName>
    <definedName name="pgia">#REF!</definedName>
    <definedName name="Phamcap">#REF!</definedName>
    <definedName name="phi_inertial">#REF!</definedName>
    <definedName name="phu_luc_vua">#REF!</definedName>
    <definedName name="PileSize">#REF!</definedName>
    <definedName name="PileType">#REF!</definedName>
    <definedName name="pm..">#REF!</definedName>
    <definedName name="PRICE">#REF!</definedName>
    <definedName name="PRICE1">#REF!</definedName>
    <definedName name="print">#REF!</definedName>
    <definedName name="_xlnm.Print_Area" localSheetId="0">'So thu 2016-2025'!$A$1:$Y$56</definedName>
    <definedName name="_xlnm.Print_Area">#REF!</definedName>
    <definedName name="Print_Area_MI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POSAL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u">#REF!</definedName>
    <definedName name="pw">#REF!</definedName>
    <definedName name="qa" hidden="1">{"'Sheet1'!$L$16"}</definedName>
    <definedName name="Qc">#REF!</definedName>
    <definedName name="QHTX_DIABAN">[1]LIST!$B$2:$B$31</definedName>
    <definedName name="QLHT10" hidden="1">{"'Sheet1'!$L$16"}</definedName>
    <definedName name="QQ" hidden="1">{"'Sheet1'!$L$16"}</definedName>
    <definedName name="qu">#REF!</definedName>
    <definedName name="R_mong">#REF!</definedName>
    <definedName name="Ra_">#REF!</definedName>
    <definedName name="ra11p">#REF!</definedName>
    <definedName name="ra13p">#REF!</definedName>
    <definedName name="rain..">#REF!</definedName>
    <definedName name="Ranhxay" hidden="1">{"'Sheet1'!$L$16"}</definedName>
    <definedName name="Rc_">#REF!</definedName>
    <definedName name="RECOUT">#N/A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HGSD" hidden="1">{"'Sheet1'!$L$16"}</definedName>
    <definedName name="Rrpo">#REF!</definedName>
    <definedName name="s">#REF!</definedName>
    <definedName name="s.">#REF!</definedName>
    <definedName name="sanluongnhap">#REF!</definedName>
    <definedName name="SCH">#REF!</definedName>
    <definedName name="SDMONG">#REF!</definedName>
    <definedName name="së_giao_th_ng">#REF!</definedName>
    <definedName name="së_n_ng_nghiÖp_v__pt_n_ng_th_n">#REF!</definedName>
    <definedName name="së_thuû_s_n">#REF!</definedName>
    <definedName name="së_x_y_dùng">#REF!</definedName>
    <definedName name="sencount" hidden="1">2</definedName>
    <definedName name="sfsd" hidden="1">{"'Sheet1'!$L$16"}</definedName>
    <definedName name="Sheet1">#REF!</definedName>
    <definedName name="SIZE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max">#REF!</definedName>
    <definedName name="smax1">#REF!</definedName>
    <definedName name="sn">#REF!</definedName>
    <definedName name="sntk" hidden="1">{"'Sheet1'!$L$16"}</definedName>
    <definedName name="soc3p">#REF!</definedName>
    <definedName name="SoilType">#REF!</definedName>
    <definedName name="soluongnhap">#REF!</definedName>
    <definedName name="SORT">#REF!</definedName>
    <definedName name="Sosanh2" hidden="1">{"'Sheet1'!$L$16"}</definedName>
    <definedName name="SPEC">#REF!</definedName>
    <definedName name="SPECSUMMARY">#REF!</definedName>
    <definedName name="Split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ss" hidden="1">#REF!</definedName>
    <definedName name="S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">#REF!,#REF!</definedName>
    <definedName name="SUMMARY">#REF!</definedName>
    <definedName name="t.">#REF!</definedName>
    <definedName name="t..">#REF!</definedName>
    <definedName name="T.TBA">#REF!</definedName>
    <definedName name="T0.4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dao">#REF!</definedName>
    <definedName name="Tæng_Cty_c__khÝ_NL_v__má">#REF!</definedName>
    <definedName name="tao" hidden="1">{"'Sheet1'!$L$16"}</definedName>
    <definedName name="TatBo" hidden="1">{"'Sheet1'!$L$16"}</definedName>
    <definedName name="TaxTV">10%</definedName>
    <definedName name="TaxXL">5%</definedName>
    <definedName name="TBA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n">#REF!</definedName>
    <definedName name="test">#REF!</definedName>
    <definedName name="TH.BM">#REF!</definedName>
    <definedName name="TH.DVKD">#REF!</definedName>
    <definedName name="TH.HB">#REF!</definedName>
    <definedName name="TH.HR">#REF!</definedName>
    <definedName name="TH.KT">#REF!</definedName>
    <definedName name="TH.NK">#REF!</definedName>
    <definedName name="TH.SL">#REF!</definedName>
    <definedName name="TH.TBDM">#REF!</definedName>
    <definedName name="TH.TC">#REF!</definedName>
    <definedName name="tha" hidden="1">{"'Sheet1'!$L$16"}</definedName>
    <definedName name="thanh" hidden="1">{"'Sheet1'!$L$16"}</definedName>
    <definedName name="thanhtien">#REF!</definedName>
    <definedName name="THDA_copy" hidden="1">{"'Sheet1'!$L$16"}</definedName>
    <definedName name="THDP" hidden="1">{"'Sheet1'!$L$16"}</definedName>
    <definedName name="THGO1pnc">#REF!</definedName>
    <definedName name="thht">#REF!</definedName>
    <definedName name="THI">#REF!</definedName>
    <definedName name="thinh">#REF!</definedName>
    <definedName name="THKL" hidden="1">{"'Sheet1'!$L$16"}</definedName>
    <definedName name="thkl2" hidden="1">{"'Sheet1'!$L$16"}</definedName>
    <definedName name="thkl3" hidden="1">{"'Sheet1'!$L$16"}</definedName>
    <definedName name="thkp3">#REF!</definedName>
    <definedName name="thtt">#REF!</definedName>
    <definedName name="thu" hidden="1">{"'Sheet1'!$L$16"}</definedName>
    <definedName name="thuy" hidden="1">{"'Sheet1'!$L$16"}</definedName>
    <definedName name="THXD2" hidden="1">{"'Sheet1'!$L$16"}</definedName>
    <definedName name="Tien">#REF!</definedName>
    <definedName name="TienThanhToan">#REF!</definedName>
    <definedName name="TienThanhToanNB">#REF!</definedName>
    <definedName name="Tim_cong">#REF!</definedName>
    <definedName name="tim_xuat_hien">#REF!</definedName>
    <definedName name="TITAN">#REF!</definedName>
    <definedName name="tk" hidden="1">{"'Sheet1'!$L$16"}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on">#REF!</definedName>
    <definedName name="tonghop" hidden="1">{"'Sheet1'!$L$16"}</definedName>
    <definedName name="TOTAL">#REF!</definedName>
    <definedName name="TPCP" hidden="1">{"'Sheet1'!$L$16"}</definedName>
    <definedName name="TPLRP">#REF!</definedName>
    <definedName name="Tra_DM_su_dung">#REF!</definedName>
    <definedName name="Tra_don_gia_KS">#REF!</definedName>
    <definedName name="Tra_DTCT">#REF!</definedName>
    <definedName name="Tra_gtxl_cong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M">#REF!</definedName>
    <definedName name="TRAvH">#REF!</definedName>
    <definedName name="TRAVL">#REF!</definedName>
    <definedName name="trigianhapthan">#REF!</definedName>
    <definedName name="trigiaxuatthan">#REF!</definedName>
    <definedName name="TT">#REF!</definedName>
    <definedName name="TT_1P">#REF!</definedName>
    <definedName name="TT_3p">#REF!</definedName>
    <definedName name="ttao">#REF!</definedName>
    <definedName name="tthi">#REF!</definedName>
    <definedName name="ttinh">#REF!</definedName>
    <definedName name="ttronmk">#REF!</definedName>
    <definedName name="tuyen" hidden="1">{"'Sheet1'!$L$16"}</definedName>
    <definedName name="tuyennhanh" hidden="1">{"'Sheet1'!$L$16"}</definedName>
    <definedName name="tuynen" hidden="1">{"'Sheet1'!$L$16"}</definedName>
    <definedName name="tv75nc">#REF!</definedName>
    <definedName name="tv75vl">#REF!</definedName>
    <definedName name="TW">#REF!</definedName>
    <definedName name="ty_le">#REF!</definedName>
    <definedName name="Ty_Le_1">#REF!</definedName>
    <definedName name="ty_le_BTN">#REF!</definedName>
    <definedName name="Ty_le1">#REF!</definedName>
    <definedName name="UP">#REF!,#REF!,#REF!,#REF!,#REF!,#REF!,#REF!,#REF!,#REF!,#REF!,#REF!</definedName>
    <definedName name="VARIINST">#REF!</definedName>
    <definedName name="VARIPURC">#REF!</definedName>
    <definedName name="VATM" hidden="1">{"'Sheet1'!$L$16"}</definedName>
    <definedName name="VC">#REF!</definedName>
    <definedName name="VCHT">#REF!</definedName>
    <definedName name="VCTT">#REF!</definedName>
    <definedName name="vd3p">#REF!</definedName>
    <definedName name="vl1p">#REF!</definedName>
    <definedName name="vl3p">#REF!</definedName>
    <definedName name="VLBS">#N/A</definedName>
    <definedName name="vldn400">#REF!</definedName>
    <definedName name="vldn600">#REF!</definedName>
    <definedName name="VLM">#REF!</definedName>
    <definedName name="vltram">#REF!</definedName>
    <definedName name="vr3p">#REF!</definedName>
    <definedName name="Vu">#REF!</definedName>
    <definedName name="Vu_">#REF!</definedName>
    <definedName name="W">#REF!</definedName>
    <definedName name="Wdaymong">#REF!</definedName>
    <definedName name="wl">#REF!</definedName>
    <definedName name="wr" hidden="1">{#N/A,#N/A,FALSE,"Chi tiÆt"}</definedName>
    <definedName name="wrn.aaa." hidden="1">{#N/A,#N/A,FALSE,"Sheet1";#N/A,#N/A,FALSE,"Sheet1";#N/A,#N/A,FALSE,"Sheet1"}</definedName>
    <definedName name="wrn.chi._.tiÆt." hidden="1">{#N/A,#N/A,FALSE,"Chi tiÆt"}</definedName>
    <definedName name="wrn.cong." hidden="1">{#N/A,#N/A,FALSE,"Sheet1"}</definedName>
    <definedName name="wrn.ONGCDOC." hidden="1">{#N/A,#N/A,FALSE,"ACCRUAL";#N/A,#N/A,FALSE,"ACURRENT";#N/A,#N/A,FALSE,"ADMALLOC";#N/A,#N/A,FALSE,"WORKCAP";#N/A,#N/A,FALSE,"ANALYSIS";#N/A,#N/A,FALSE,"DEBTOR";#N/A,#N/A,FALSE,"FUNDSREC";#N/A,#N/A,FALSE,"FUNDSSUM";#N/A,#N/A,FALSE,"MOB95";#N/A,#N/A,FALSE,"INS96";#N/A,#N/A,FALSE,"RECONC'L";#N/A,#N/A,FALSE,"SUMMARY";#N/A,#N/A,FALSE,"INS-SE";#N/A,#N/A,FALSE,"CAPEX-INS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STATDOC." hidden="1">{#N/A,#N/A,FALSE,"RECONC'L";#N/A,#N/A,FALSE,"WORKCAP";#N/A,#N/A,FALSE,"RECONC'L";#N/A,#N/A,FALSE,"ACCRUAL";#N/A,#N/A,FALSE,"DEBTOR";#N/A,#N/A,FALSE,"ADMALLOC"}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>#REF!</definedName>
    <definedName name="Wss">#REF!</definedName>
    <definedName name="Wst">#REF!</definedName>
    <definedName name="wt">#REF!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l">#REF!</definedName>
    <definedName name="xlc">#REF!</definedName>
    <definedName name="xlk">#REF!</definedName>
    <definedName name="xn">#REF!</definedName>
    <definedName name="xuatthan">#REF!</definedName>
    <definedName name="y">#REF!</definedName>
    <definedName name="z">#REF!</definedName>
    <definedName name="zl">#REF!</definedName>
    <definedName name="Zw">#REF!</definedName>
    <definedName name="ZXzX" hidden="1">{"'Sheet1'!$L$16"}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4" i="1" l="1"/>
  <c r="X28" i="1"/>
  <c r="X22" i="1"/>
  <c r="X16" i="1"/>
  <c r="X14" i="1"/>
  <c r="X13" i="1"/>
  <c r="X12" i="1"/>
  <c r="X11" i="1"/>
  <c r="X10" i="1"/>
  <c r="X9" i="1"/>
  <c r="X6" i="1" l="1"/>
  <c r="X5" i="1" s="1"/>
  <c r="X8" i="1"/>
  <c r="X7" i="1" l="1"/>
  <c r="X15" i="1"/>
  <c r="W22" i="1"/>
  <c r="V28" i="1"/>
  <c r="V16" i="1"/>
  <c r="V34" i="1"/>
  <c r="V22" i="1"/>
  <c r="W34" i="1"/>
  <c r="W28" i="1"/>
  <c r="T28" i="1"/>
  <c r="W16" i="1"/>
  <c r="T16" i="1"/>
  <c r="T22" i="1"/>
  <c r="V6" i="1" l="1"/>
  <c r="V5" i="1"/>
  <c r="V7" i="1"/>
  <c r="W6" i="1"/>
  <c r="W14" i="1"/>
  <c r="V14" i="1"/>
  <c r="W13" i="1"/>
  <c r="V13" i="1"/>
  <c r="W12" i="1"/>
  <c r="V12" i="1"/>
  <c r="W11" i="1"/>
  <c r="V11" i="1"/>
  <c r="W10" i="1"/>
  <c r="V10" i="1"/>
  <c r="W9" i="1"/>
  <c r="V9" i="1"/>
  <c r="W5" i="1" l="1"/>
  <c r="W7" i="1"/>
  <c r="W8" i="1"/>
  <c r="W15" i="1" s="1"/>
  <c r="V8" i="1"/>
  <c r="V15" i="1"/>
  <c r="D14" i="1" l="1"/>
  <c r="J14" i="1"/>
  <c r="K14" i="1"/>
  <c r="H34" i="1"/>
  <c r="C34" i="1"/>
  <c r="F34" i="1"/>
  <c r="U34" i="1"/>
  <c r="T34" i="1"/>
  <c r="T6" i="1" s="1"/>
  <c r="S34" i="1"/>
  <c r="Q34" i="1"/>
  <c r="P34" i="1"/>
  <c r="O34" i="1"/>
  <c r="N34" i="1"/>
  <c r="M34" i="1"/>
  <c r="J34" i="1"/>
  <c r="H12" i="1"/>
  <c r="P33" i="1"/>
  <c r="P28" i="1" s="1"/>
  <c r="P13" i="1"/>
  <c r="L13" i="1"/>
  <c r="H13" i="1"/>
  <c r="G28" i="1"/>
  <c r="D28" i="1"/>
  <c r="L10" i="1"/>
  <c r="E28" i="1"/>
  <c r="U28" i="1"/>
  <c r="S28" i="1"/>
  <c r="R28" i="1"/>
  <c r="R6" i="1" s="1"/>
  <c r="Q28" i="1"/>
  <c r="O28" i="1"/>
  <c r="N28" i="1"/>
  <c r="K28" i="1"/>
  <c r="C28" i="1"/>
  <c r="K12" i="1"/>
  <c r="E12" i="1"/>
  <c r="G11" i="1"/>
  <c r="G22" i="1"/>
  <c r="C22" i="1"/>
  <c r="L22" i="1"/>
  <c r="I10" i="1"/>
  <c r="H22" i="1"/>
  <c r="J22" i="1"/>
  <c r="H9" i="1"/>
  <c r="C9" i="1"/>
  <c r="U22" i="1"/>
  <c r="S22" i="1"/>
  <c r="Q22" i="1"/>
  <c r="P22" i="1"/>
  <c r="O22" i="1"/>
  <c r="N22" i="1"/>
  <c r="G13" i="1"/>
  <c r="L11" i="1"/>
  <c r="I11" i="1"/>
  <c r="C11" i="1"/>
  <c r="J10" i="1"/>
  <c r="E10" i="1"/>
  <c r="D10" i="1"/>
  <c r="L16" i="1"/>
  <c r="E9" i="1"/>
  <c r="E8" i="1" s="1"/>
  <c r="D16" i="1"/>
  <c r="D6" i="1" s="1"/>
  <c r="U16" i="1"/>
  <c r="U6" i="1" s="1"/>
  <c r="S16" i="1"/>
  <c r="Q16" i="1"/>
  <c r="P16" i="1"/>
  <c r="O16" i="1"/>
  <c r="N16" i="1"/>
  <c r="C16" i="1"/>
  <c r="U14" i="1"/>
  <c r="T14" i="1"/>
  <c r="S14" i="1"/>
  <c r="R14" i="1"/>
  <c r="Q14" i="1"/>
  <c r="P14" i="1"/>
  <c r="O14" i="1"/>
  <c r="N14" i="1"/>
  <c r="H14" i="1"/>
  <c r="C14" i="1"/>
  <c r="U13" i="1"/>
  <c r="T13" i="1"/>
  <c r="S13" i="1"/>
  <c r="R13" i="1"/>
  <c r="Q13" i="1"/>
  <c r="O13" i="1"/>
  <c r="N13" i="1"/>
  <c r="I13" i="1"/>
  <c r="F13" i="1"/>
  <c r="E13" i="1"/>
  <c r="D13" i="1"/>
  <c r="C13" i="1"/>
  <c r="U12" i="1"/>
  <c r="T12" i="1"/>
  <c r="S12" i="1"/>
  <c r="R12" i="1"/>
  <c r="Q12" i="1"/>
  <c r="P12" i="1"/>
  <c r="O12" i="1"/>
  <c r="N12" i="1"/>
  <c r="M12" i="1"/>
  <c r="J12" i="1"/>
  <c r="I12" i="1"/>
  <c r="U11" i="1"/>
  <c r="T11" i="1"/>
  <c r="S11" i="1"/>
  <c r="R11" i="1"/>
  <c r="Q11" i="1"/>
  <c r="P11" i="1"/>
  <c r="O11" i="1"/>
  <c r="N11" i="1"/>
  <c r="J11" i="1"/>
  <c r="F11" i="1"/>
  <c r="D11" i="1"/>
  <c r="U10" i="1"/>
  <c r="T10" i="1"/>
  <c r="S10" i="1"/>
  <c r="R10" i="1"/>
  <c r="Q10" i="1"/>
  <c r="P10" i="1"/>
  <c r="O10" i="1"/>
  <c r="N10" i="1"/>
  <c r="K10" i="1"/>
  <c r="C10" i="1"/>
  <c r="U9" i="1"/>
  <c r="T9" i="1"/>
  <c r="S9" i="1"/>
  <c r="R9" i="1"/>
  <c r="Q9" i="1"/>
  <c r="P9" i="1"/>
  <c r="O9" i="1"/>
  <c r="N9" i="1"/>
  <c r="L9" i="1"/>
  <c r="J9" i="1"/>
  <c r="G9" i="1"/>
  <c r="G8" i="1" s="1"/>
  <c r="E16" i="1"/>
  <c r="E6" i="1" s="1"/>
  <c r="I16" i="1"/>
  <c r="M16" i="1"/>
  <c r="G12" i="1"/>
  <c r="M13" i="1"/>
  <c r="M14" i="1"/>
  <c r="J28" i="1"/>
  <c r="K34" i="1"/>
  <c r="H28" i="1"/>
  <c r="L28" i="1"/>
  <c r="M9" i="1"/>
  <c r="F22" i="1"/>
  <c r="F28" i="1"/>
  <c r="L12" i="1"/>
  <c r="L14" i="1"/>
  <c r="M10" i="1"/>
  <c r="I22" i="1"/>
  <c r="M28" i="1"/>
  <c r="G14" i="1"/>
  <c r="G34" i="1"/>
  <c r="G16" i="1"/>
  <c r="M22" i="1"/>
  <c r="D12" i="1"/>
  <c r="F16" i="1"/>
  <c r="C12" i="1"/>
  <c r="D34" i="1"/>
  <c r="M11" i="1"/>
  <c r="F12" i="1"/>
  <c r="J13" i="1"/>
  <c r="K9" i="1"/>
  <c r="K22" i="1"/>
  <c r="I28" i="1"/>
  <c r="I34" i="1"/>
  <c r="F14" i="1"/>
  <c r="K11" i="1"/>
  <c r="K16" i="1"/>
  <c r="K6" i="1" s="1"/>
  <c r="F10" i="1"/>
  <c r="F9" i="1"/>
  <c r="G10" i="1"/>
  <c r="I9" i="1"/>
  <c r="H11" i="1"/>
  <c r="K13" i="1"/>
  <c r="E22" i="1"/>
  <c r="J16" i="1"/>
  <c r="J6" i="1" s="1"/>
  <c r="H16" i="1"/>
  <c r="H6" i="1" s="1"/>
  <c r="H10" i="1"/>
  <c r="D22" i="1"/>
  <c r="D9" i="1"/>
  <c r="D8" i="1" s="1"/>
  <c r="L34" i="1"/>
  <c r="I14" i="1"/>
  <c r="E11" i="1"/>
  <c r="E34" i="1"/>
  <c r="E14" i="1"/>
  <c r="K5" i="1" l="1"/>
  <c r="K7" i="1"/>
  <c r="D7" i="1"/>
  <c r="D5" i="1"/>
  <c r="L6" i="1"/>
  <c r="T5" i="1"/>
  <c r="T7" i="1"/>
  <c r="C6" i="1"/>
  <c r="H8" i="1"/>
  <c r="N6" i="1"/>
  <c r="E5" i="1"/>
  <c r="E7" i="1"/>
  <c r="U7" i="1"/>
  <c r="U5" i="1"/>
  <c r="F6" i="1"/>
  <c r="H7" i="1"/>
  <c r="H5" i="1"/>
  <c r="I8" i="1"/>
  <c r="P6" i="1"/>
  <c r="R7" i="1"/>
  <c r="R5" i="1"/>
  <c r="G6" i="1"/>
  <c r="J5" i="1"/>
  <c r="J7" i="1"/>
  <c r="C8" i="1"/>
  <c r="O6" i="1"/>
  <c r="M6" i="1"/>
  <c r="Q6" i="1"/>
  <c r="F8" i="1"/>
  <c r="I6" i="1"/>
  <c r="S6" i="1"/>
  <c r="Q8" i="1"/>
  <c r="K8" i="1"/>
  <c r="T8" i="1"/>
  <c r="C15" i="1"/>
  <c r="J8" i="1"/>
  <c r="O8" i="1"/>
  <c r="N8" i="1"/>
  <c r="S8" i="1"/>
  <c r="P8" i="1"/>
  <c r="U8" i="1"/>
  <c r="L8" i="1"/>
  <c r="M8" i="1"/>
  <c r="R8" i="1"/>
  <c r="R15" i="1" s="1"/>
  <c r="N7" i="1" l="1"/>
  <c r="N5" i="1"/>
  <c r="S7" i="1"/>
  <c r="S5" i="1"/>
  <c r="F5" i="1"/>
  <c r="F7" i="1"/>
  <c r="G5" i="1"/>
  <c r="G7" i="1"/>
  <c r="G15" i="1"/>
  <c r="P5" i="1"/>
  <c r="P7" i="1"/>
  <c r="L5" i="1"/>
  <c r="L7" i="1"/>
  <c r="M5" i="1"/>
  <c r="M7" i="1"/>
  <c r="C7" i="1"/>
  <c r="C5" i="1"/>
  <c r="I7" i="1"/>
  <c r="I5" i="1"/>
  <c r="Q5" i="1"/>
  <c r="Q7" i="1"/>
  <c r="Q15" i="1"/>
  <c r="O5" i="1"/>
  <c r="O7" i="1"/>
  <c r="H15" i="1"/>
  <c r="J15" i="1"/>
  <c r="K15" i="1"/>
  <c r="T15" i="1"/>
  <c r="F15" i="1"/>
  <c r="N15" i="1"/>
  <c r="E15" i="1"/>
  <c r="I15" i="1"/>
  <c r="S15" i="1"/>
  <c r="D15" i="1"/>
  <c r="L15" i="1"/>
  <c r="M15" i="1"/>
  <c r="U15" i="1"/>
  <c r="O15" i="1"/>
  <c r="P15" i="1"/>
</calcChain>
</file>

<file path=xl/sharedStrings.xml><?xml version="1.0" encoding="utf-8"?>
<sst xmlns="http://schemas.openxmlformats.org/spreadsheetml/2006/main" count="93" uniqueCount="62">
  <si>
    <t>Đơn vị: Triệu đồng</t>
  </si>
  <si>
    <t>STT</t>
  </si>
  <si>
    <t>NỘI DUNG</t>
  </si>
  <si>
    <t>NĂM 2015</t>
  </si>
  <si>
    <t>NĂM 2016</t>
  </si>
  <si>
    <t>NĂM 2017</t>
  </si>
  <si>
    <t>NĂM 2018</t>
  </si>
  <si>
    <t>NĂM 2019</t>
  </si>
  <si>
    <t>NĂM 2020</t>
  </si>
  <si>
    <t>NĂM 2021</t>
  </si>
  <si>
    <t>NĂM 2022</t>
  </si>
  <si>
    <t>NĂM 2023</t>
  </si>
  <si>
    <t>NĂM 2024</t>
  </si>
  <si>
    <t>THỰC HIỆN</t>
  </si>
  <si>
    <t>DTPL</t>
  </si>
  <si>
    <t>ƯỚC THỰC HIỆN</t>
  </si>
  <si>
    <t xml:space="preserve">TỔNG THU NSNN TRÊN ĐỊA BÀN (I+II) </t>
  </si>
  <si>
    <t>I</t>
  </si>
  <si>
    <t>THU NỘI ĐỊA</t>
  </si>
  <si>
    <t>Tr.đó: Số thu nội địa không kể tiền SDĐ, XS, CT&amp;LNCL, CLTCNH</t>
  </si>
  <si>
    <t>- Thu SXKD</t>
  </si>
  <si>
    <t xml:space="preserve"> + Thuế GTGT</t>
  </si>
  <si>
    <t xml:space="preserve"> + Thuế TNDN</t>
  </si>
  <si>
    <t xml:space="preserve"> + Thuế TTĐB</t>
  </si>
  <si>
    <t xml:space="preserve"> + Thuế TN</t>
  </si>
  <si>
    <t xml:space="preserve"> + Thu từ khí thiên nhiên</t>
  </si>
  <si>
    <t>- Thu từ đất</t>
  </si>
  <si>
    <t>- Thu từ các khoản thuế phí khác</t>
  </si>
  <si>
    <t>Thu từ khu vực doanh nghiệp nhà nước do Trung ương quản lý</t>
  </si>
  <si>
    <t xml:space="preserve">- Thuế giá trị gia tăng </t>
  </si>
  <si>
    <t xml:space="preserve">- Thuế thu nhập doanh nghiệp </t>
  </si>
  <si>
    <t>- Thuế tiêu thụ đặc biệt</t>
  </si>
  <si>
    <t>- Thuế tài nguyên</t>
  </si>
  <si>
    <t xml:space="preserve"> - Thu về khí thiên nhiên, khí than</t>
  </si>
  <si>
    <t>Thu từ khu vực doanh nghiệp nhà nước do địa phương quản lý</t>
  </si>
  <si>
    <t xml:space="preserve">- Thuế tiêu thụ đặc biệt </t>
  </si>
  <si>
    <t xml:space="preserve">Thu từ khu vực doanh nghiệp có vốn đầu tư nước ngoài </t>
  </si>
  <si>
    <t xml:space="preserve">- Thu từ khí thiên nhiên </t>
  </si>
  <si>
    <t>Thu từ khu vực kinh tế ngoài quốc doanh</t>
  </si>
  <si>
    <t>- Thuế giá trị gia tăng</t>
  </si>
  <si>
    <t>- Thuế thu nhập doanh nghiệp</t>
  </si>
  <si>
    <t>Lệ phí trước bạ</t>
  </si>
  <si>
    <t>Thuế sử dụng đất nông nghiệp</t>
  </si>
  <si>
    <t>Thuế sử dụng đất phi nông nghiệp</t>
  </si>
  <si>
    <t>Thuế thu nhập cá nhân</t>
  </si>
  <si>
    <t>Thuế bảo vệ môi trường</t>
  </si>
  <si>
    <t>Phí, lệ phí</t>
  </si>
  <si>
    <t>Tiền sử dụng đất</t>
  </si>
  <si>
    <t>Thu tiền thuê đất, mặt nước</t>
  </si>
  <si>
    <t>Thu tiền cho thuê và bán nhà ở thuộc sở hữu nhà nước</t>
  </si>
  <si>
    <t>Thu khác ngân sách</t>
  </si>
  <si>
    <t>Thu tiền cấp quyền khai thác khoáng sản</t>
  </si>
  <si>
    <t>Thu từ quỹ đất công ích và thu hoa lợi công sản khác</t>
  </si>
  <si>
    <t>Thu từ hoạt động xổ số kiến thiết (kể cả hoạt động xổ số điện toán)</t>
  </si>
  <si>
    <t>Thu cổ tức và lợi nhuận sau thuế (Trung ương hưởng 100%)</t>
  </si>
  <si>
    <t>Chênh lệch thu chi ngân hàng nhà nước</t>
  </si>
  <si>
    <t>II</t>
  </si>
  <si>
    <t>THU TỪ DẦU THÔ</t>
  </si>
  <si>
    <t>* Thực hiện năm 2021 chưa bao gồm khoản Thu cổ tức và lợi nhuận sau thuế (trung ương hưởng 100%)</t>
  </si>
  <si>
    <t>BIỂU TỔNG HỢP DỰ TOÁN THU NSNN GIAI ĐOẠN 2016-2025</t>
  </si>
  <si>
    <t>NĂM 2025</t>
  </si>
  <si>
    <t>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</si>
</sst>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14" x14ac:knownFonts="1">
    <font>
      <sz val="14"/>
      <color theme="1"/>
      <name val="Times New Roman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4"/>
      <color theme="1"/>
      <name val="Times New Roman"/>
      <family val="2"/>
    </font>
    <font>
      <sz val="10"/>
      <color theme="1"/>
      <name val="Times New Roman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4"/>
      <color theme="1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000000"/>
      <name val="Times New Roman"/>
      <family val="1"/>
    </font>
    <font>
      <i/>
      <sz val="11"/>
      <color rgb="FF00000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12" fillId="0" borderId="0"/>
    <xf numFmtId="0" fontId="13" fillId="0" borderId="0"/>
    <xf numFmtId="0" fontId="12" fillId="0" borderId="0"/>
  </cellStyleXfs>
  <cellXfs count="46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3" borderId="2" xfId="1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164" fontId="5" fillId="4" borderId="2" xfId="1" applyNumberFormat="1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0" fontId="7" fillId="0" borderId="0" xfId="0" applyFont="1"/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164" fontId="1" fillId="0" borderId="2" xfId="1" applyNumberFormat="1" applyFont="1" applyFill="1" applyBorder="1" applyAlignment="1">
      <alignment horizontal="right" vertical="center"/>
    </xf>
    <xf numFmtId="164" fontId="1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164" fontId="5" fillId="0" borderId="2" xfId="1" applyNumberFormat="1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center" vertical="center" wrapText="1"/>
    </xf>
    <xf numFmtId="164" fontId="5" fillId="0" borderId="2" xfId="0" applyNumberFormat="1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right" vertical="center"/>
    </xf>
    <xf numFmtId="164" fontId="9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11" fillId="0" borderId="0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6">
    <cellStyle name="Comma 7" xfId="1" xr:uid="{00000000-0005-0000-0000-000000000000}"/>
    <cellStyle name="Normal" xfId="0" builtinId="0"/>
    <cellStyle name="Normal 2" xfId="3" xr:uid="{A1486C02-4B26-4265-877D-4F97540914E5}"/>
    <cellStyle name="Normal 3" xfId="5" xr:uid="{BB5236B0-B29C-4F47-8E95-F23EE22F1475}"/>
    <cellStyle name="Normal 5" xfId="2" xr:uid="{7F462E1A-BFEC-4535-9E88-AFB98BDFF7D3}"/>
    <cellStyle name="Normal 5 2" xfId="4" xr:uid="{408F0619-480F-47FA-BD86-33F24DCC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oc%20QHTX%202024-2025%20(cap%20nhat%2024.10.20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HTX-Tong hop"/>
      <sheetName val="QHTX-Chi tiet"/>
      <sheetName val="UTH - FULL"/>
      <sheetName val="TDT2024"/>
      <sheetName val="9T2023"/>
      <sheetName val="T102023"/>
      <sheetName val="T112023"/>
      <sheetName val="T122023"/>
      <sheetName val="12T2023"/>
      <sheetName val="9T2024"/>
      <sheetName val="CCT-BC3A"/>
      <sheetName val="CT DNL"/>
      <sheetName val="PIVOT CTDNL"/>
      <sheetName val="So KT 2025"/>
      <sheetName val="CCT UOC 2024"/>
      <sheetName val="DTPL 2024-25"/>
      <sheetName val="DTPL QHTX 2025"/>
      <sheetName val="DTPL CCT 2024"/>
      <sheetName val="Giam 2GTGT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A2" t="str">
            <v>0012 - KBNN BA ĐÌNH - HÀ NỘI</v>
          </cell>
          <cell r="B2" t="str">
            <v>QUẬN BA ĐÌNH</v>
          </cell>
          <cell r="C2" t="str">
            <v>BA ĐÌNH</v>
          </cell>
          <cell r="D2" t="str">
            <v>BDI</v>
          </cell>
        </row>
        <row r="3">
          <cell r="A3" t="str">
            <v>0041 - KBNN BẮC TỪ LIÊM - HÀ NỘI</v>
          </cell>
          <cell r="B3" t="str">
            <v>QUẬN BẮC TỪ LIÊM</v>
          </cell>
          <cell r="C3" t="str">
            <v>BẮC TỪ LIÊM</v>
          </cell>
          <cell r="D3" t="str">
            <v>BTL</v>
          </cell>
        </row>
        <row r="4">
          <cell r="A4" t="str">
            <v>0023 - KBNN CẦU GIẤY - HÀ NỘI</v>
          </cell>
          <cell r="B4" t="str">
            <v>QUẬN CẦU GIẤY</v>
          </cell>
          <cell r="C4" t="str">
            <v>CẦU GIẤY</v>
          </cell>
          <cell r="D4" t="str">
            <v>CGI</v>
          </cell>
        </row>
        <row r="5">
          <cell r="A5" t="str">
            <v>0015 - KBNN ĐỐNG ĐA - HÀ NỘI</v>
          </cell>
          <cell r="B5" t="str">
            <v>QUẬN ĐỐNG ĐA</v>
          </cell>
          <cell r="C5" t="str">
            <v>ĐỐNG ĐA</v>
          </cell>
          <cell r="D5" t="str">
            <v>DDA</v>
          </cell>
        </row>
        <row r="6">
          <cell r="A6" t="str">
            <v>0026 - KBNN HÀ ĐÔNG - HÀ NỘI</v>
          </cell>
          <cell r="B6" t="str">
            <v>QUẬN HÀ ĐÔNG</v>
          </cell>
          <cell r="C6" t="str">
            <v>HÀ ĐÔNG</v>
          </cell>
          <cell r="D6" t="str">
            <v>HDO</v>
          </cell>
        </row>
        <row r="7">
          <cell r="A7" t="str">
            <v>0014 - KBNN HAI BÀ TRƯNG - HÀ NỘI</v>
          </cell>
          <cell r="B7" t="str">
            <v>QUẬN HAI BÀ TRƯNG</v>
          </cell>
          <cell r="C7" t="str">
            <v>HAI BÀ TRƯNG</v>
          </cell>
          <cell r="D7" t="str">
            <v>HBT</v>
          </cell>
        </row>
        <row r="8">
          <cell r="A8" t="str">
            <v>0013 - KBNN HOÀN KIẾM - HÀ NỘI</v>
          </cell>
          <cell r="B8" t="str">
            <v>QUẬN HOÀN KIẾM</v>
          </cell>
          <cell r="C8" t="str">
            <v>HOÀN KIẾM</v>
          </cell>
          <cell r="D8" t="str">
            <v>HKI</v>
          </cell>
        </row>
        <row r="9">
          <cell r="A9" t="str">
            <v>0025 - KBNN HOÀNG MAI - HÀ NỘI</v>
          </cell>
          <cell r="B9" t="str">
            <v>QUẬN HOÀNG MAI</v>
          </cell>
          <cell r="C9" t="str">
            <v>HOÀNG MAI</v>
          </cell>
          <cell r="D9" t="str">
            <v>HMA</v>
          </cell>
        </row>
        <row r="10">
          <cell r="A10" t="str">
            <v>0016 - KBNN LONG BIÊN - HÀ NỘI</v>
          </cell>
          <cell r="B10" t="str">
            <v>QUẬN LONG BIÊN</v>
          </cell>
          <cell r="C10" t="str">
            <v>LONG BIÊN</v>
          </cell>
          <cell r="D10" t="str">
            <v>LBI</v>
          </cell>
        </row>
        <row r="11">
          <cell r="A11" t="str">
            <v>0017 - KBNN NAM TỪ LIÊM - HÀ NỘI</v>
          </cell>
          <cell r="B11" t="str">
            <v>QUẬN NAM TỪ LIÊM</v>
          </cell>
          <cell r="C11" t="str">
            <v>NAM TỪ LIÊM</v>
          </cell>
          <cell r="D11" t="str">
            <v>NTL</v>
          </cell>
        </row>
        <row r="12">
          <cell r="A12" t="str">
            <v>0021 - KBNN TÂY HỒ - HÀ NỘI</v>
          </cell>
          <cell r="B12" t="str">
            <v>QUẬN TÂY HỒ</v>
          </cell>
          <cell r="C12" t="str">
            <v>TÂY HỒ</v>
          </cell>
          <cell r="D12" t="str">
            <v>THO</v>
          </cell>
        </row>
        <row r="13">
          <cell r="A13" t="str">
            <v>0022 - KBNN THANH XUÂN - HÀ NỘI</v>
          </cell>
          <cell r="B13" t="str">
            <v>QUẬN THANH XUÂN</v>
          </cell>
          <cell r="C13" t="str">
            <v>THANH XUÂN</v>
          </cell>
          <cell r="D13" t="str">
            <v>TXU</v>
          </cell>
        </row>
        <row r="14">
          <cell r="A14" t="str">
            <v>0035 - KBNN ĐAN PHƯỢNG - HÀ NỘI</v>
          </cell>
          <cell r="B14" t="str">
            <v>HUYỆN ĐAN PHƯỢNG</v>
          </cell>
          <cell r="C14" t="str">
            <v>ĐAN PHƯỢNG</v>
          </cell>
          <cell r="D14" t="str">
            <v>DPH</v>
          </cell>
        </row>
        <row r="15">
          <cell r="A15" t="str">
            <v>0020 - KBNN ĐÔNG ANH - HÀ NỘI</v>
          </cell>
          <cell r="B15" t="str">
            <v>HUYỆN ĐÔNG ANH</v>
          </cell>
          <cell r="C15" t="str">
            <v>ĐÔNG ANH</v>
          </cell>
          <cell r="D15" t="str">
            <v>DAN</v>
          </cell>
        </row>
        <row r="16">
          <cell r="A16" t="str">
            <v>0024 - KBNN GIA LÂM - HÀ NỘI</v>
          </cell>
          <cell r="B16" t="str">
            <v>HUYỆN GIA LÂM</v>
          </cell>
          <cell r="C16" t="str">
            <v>GIA LÂM</v>
          </cell>
          <cell r="D16" t="str">
            <v>GLA</v>
          </cell>
        </row>
        <row r="17">
          <cell r="A17" t="str">
            <v>0036 - KBNN HOÀI ĐỨC - HÀ NỘI</v>
          </cell>
          <cell r="B17" t="str">
            <v>HUYỆN HOÀI ĐỨC</v>
          </cell>
          <cell r="C17" t="str">
            <v>HOÀI ĐỨC</v>
          </cell>
          <cell r="D17" t="str">
            <v>HDU</v>
          </cell>
        </row>
        <row r="18">
          <cell r="A18" t="str">
            <v>0018 - KBNN THANH TRÌ - HÀ NỘI</v>
          </cell>
          <cell r="B18" t="str">
            <v>HUYỆN THANH TRÌ</v>
          </cell>
          <cell r="C18" t="str">
            <v>THANH TRÌ</v>
          </cell>
          <cell r="D18" t="str">
            <v>TTR</v>
          </cell>
        </row>
        <row r="19">
          <cell r="A19" t="str">
            <v>0034 - KBNN BA VÌ - HÀ NỘI</v>
          </cell>
          <cell r="B19" t="str">
            <v>HUYỆN BA VÌ</v>
          </cell>
          <cell r="C19" t="str">
            <v>BA VÌ</v>
          </cell>
          <cell r="D19" t="str">
            <v>BVI</v>
          </cell>
        </row>
        <row r="20">
          <cell r="A20" t="str">
            <v>0032 - KBNN CHƯƠNG MỸ - HÀ NỘI</v>
          </cell>
          <cell r="B20" t="str">
            <v>HUYỆN CHƯƠNG MỸ</v>
          </cell>
          <cell r="C20" t="str">
            <v>CHƯƠNG MỸ</v>
          </cell>
          <cell r="D20" t="str">
            <v>CMY</v>
          </cell>
        </row>
        <row r="21">
          <cell r="A21" t="str">
            <v>0040 - KBNN MÊ LINH - HÀ NỘI</v>
          </cell>
          <cell r="B21" t="str">
            <v>HUYỆN MÊ LINH</v>
          </cell>
          <cell r="C21" t="str">
            <v>MÊ LINH</v>
          </cell>
          <cell r="D21" t="str">
            <v>MLI</v>
          </cell>
        </row>
        <row r="22">
          <cell r="A22" t="str">
            <v>0028 - KBNN MỸ ĐỨC - HÀ NỘI</v>
          </cell>
          <cell r="B22" t="str">
            <v>HUYỆN MỸ ĐỨC</v>
          </cell>
          <cell r="C22" t="str">
            <v>MỸ ĐỨC</v>
          </cell>
          <cell r="D22" t="str">
            <v>MDU</v>
          </cell>
        </row>
        <row r="23">
          <cell r="A23" t="str">
            <v>0027 - KBNN PHÚ XUYÊN - HÀ NỘI</v>
          </cell>
          <cell r="B23" t="str">
            <v>HUYỆN PHÚ XUYÊN</v>
          </cell>
          <cell r="C23" t="str">
            <v>PHÚ XUYÊN</v>
          </cell>
          <cell r="D23" t="str">
            <v>PXU</v>
          </cell>
        </row>
        <row r="24">
          <cell r="A24" t="str">
            <v>0037 - KBNN PHÚC THỌ - HÀ NỘI</v>
          </cell>
          <cell r="B24" t="str">
            <v>HUYỆN PHÚC THỌ</v>
          </cell>
          <cell r="C24" t="str">
            <v>PHÚC THỌ</v>
          </cell>
          <cell r="D24" t="str">
            <v>PTH</v>
          </cell>
        </row>
        <row r="25">
          <cell r="A25" t="str">
            <v>0031 - KBNN QUỐC OAI - HÀ NỘI</v>
          </cell>
          <cell r="B25" t="str">
            <v>HUYỆN QUỐC OAI</v>
          </cell>
          <cell r="C25" t="str">
            <v>QUỐC OAI</v>
          </cell>
          <cell r="D25" t="str">
            <v>QOA</v>
          </cell>
        </row>
        <row r="26">
          <cell r="A26" t="str">
            <v>0019 - KBNN SÓC SƠN - HÀ NỘI</v>
          </cell>
          <cell r="B26" t="str">
            <v>HUYỆN SÓC SƠN</v>
          </cell>
          <cell r="C26" t="str">
            <v>SÓC SƠN</v>
          </cell>
          <cell r="D26" t="str">
            <v>SSO</v>
          </cell>
        </row>
        <row r="27">
          <cell r="A27" t="str">
            <v>0033 - KBNN SƠN TÂY - HÀ NỘI</v>
          </cell>
          <cell r="B27" t="str">
            <v>THỊ XÃ SƠN TÂY</v>
          </cell>
          <cell r="C27" t="str">
            <v>SƠN TÂY</v>
          </cell>
          <cell r="D27" t="str">
            <v>STA</v>
          </cell>
        </row>
        <row r="28">
          <cell r="A28" t="str">
            <v>0038 - KBNN THẠCH THẤT - HÀ NỘI</v>
          </cell>
          <cell r="B28" t="str">
            <v>HUYỆN THẠCH THẤT</v>
          </cell>
          <cell r="C28" t="str">
            <v>THẠCH THẤT</v>
          </cell>
          <cell r="D28" t="str">
            <v>TTH</v>
          </cell>
        </row>
        <row r="29">
          <cell r="A29" t="str">
            <v>0039 - KBNN THANH OAI - HÀ NỘI</v>
          </cell>
          <cell r="B29" t="str">
            <v>HUYỆN THANH OAI</v>
          </cell>
          <cell r="C29" t="str">
            <v>THANH OAI</v>
          </cell>
          <cell r="D29" t="str">
            <v>TOA</v>
          </cell>
        </row>
        <row r="30">
          <cell r="A30" t="str">
            <v>0030 - KBNN THƯỜNG TÍN - HÀ NỘI</v>
          </cell>
          <cell r="B30" t="str">
            <v>HUYỆN THƯỜNG TÍN</v>
          </cell>
          <cell r="C30" t="str">
            <v>THƯỜNG TÍN</v>
          </cell>
          <cell r="D30" t="str">
            <v>TTI</v>
          </cell>
        </row>
        <row r="31">
          <cell r="A31" t="str">
            <v>0029 - KBNN ỨNG HOÀ - HÀ NỘI</v>
          </cell>
          <cell r="B31" t="str">
            <v>HUYỆN ỨNG HÒA</v>
          </cell>
          <cell r="C31" t="str">
            <v>ỨNG HÒA</v>
          </cell>
          <cell r="D31" t="str">
            <v>UHO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6"/>
  <sheetViews>
    <sheetView tabSelected="1" view="pageBreakPreview" zoomScaleNormal="100" zoomScaleSheetLayoutView="100" workbookViewId="0">
      <pane xSplit="2" ySplit="4" topLeftCell="G5" activePane="bottomRight" state="frozen"/>
      <selection activeCell="S21" sqref="S21"/>
      <selection pane="topRight" activeCell="S21" sqref="S21"/>
      <selection pane="bottomLeft" activeCell="S21" sqref="S21"/>
      <selection pane="bottomRight" activeCell="Y38" sqref="Y38"/>
    </sheetView>
  </sheetViews>
  <sheetFormatPr defaultRowHeight="18.75" x14ac:dyDescent="0.3"/>
  <cols>
    <col min="1" max="1" width="5.33203125" customWidth="1"/>
    <col min="2" max="2" width="27" customWidth="1"/>
    <col min="3" max="19" width="10.21875" customWidth="1"/>
    <col min="20" max="20" width="10.21875" style="1" customWidth="1"/>
    <col min="21" max="21" width="10.21875" customWidth="1"/>
    <col min="22" max="22" width="10.21875" style="1" customWidth="1"/>
    <col min="23" max="23" width="10.21875" customWidth="1"/>
    <col min="24" max="24" width="10.21875" style="1" customWidth="1"/>
    <col min="25" max="25" width="10.21875" customWidth="1"/>
  </cols>
  <sheetData>
    <row r="1" spans="1:25" ht="27" customHeight="1" x14ac:dyDescent="0.3">
      <c r="A1" s="42" t="s">
        <v>59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34"/>
      <c r="W1" s="34"/>
      <c r="X1" s="35"/>
      <c r="Y1" s="35"/>
    </row>
    <row r="2" spans="1:25" x14ac:dyDescent="0.3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38"/>
      <c r="Y2" s="38"/>
    </row>
    <row r="3" spans="1:25" ht="25.5" customHeight="1" x14ac:dyDescent="0.3">
      <c r="A3" s="40" t="s">
        <v>1</v>
      </c>
      <c r="B3" s="40" t="s">
        <v>2</v>
      </c>
      <c r="C3" s="2" t="s">
        <v>3</v>
      </c>
      <c r="D3" s="44" t="s">
        <v>4</v>
      </c>
      <c r="E3" s="45"/>
      <c r="F3" s="44" t="s">
        <v>5</v>
      </c>
      <c r="G3" s="45"/>
      <c r="H3" s="44" t="s">
        <v>6</v>
      </c>
      <c r="I3" s="45"/>
      <c r="J3" s="44" t="s">
        <v>7</v>
      </c>
      <c r="K3" s="45"/>
      <c r="L3" s="44" t="s">
        <v>8</v>
      </c>
      <c r="M3" s="45"/>
      <c r="N3" s="40" t="s">
        <v>9</v>
      </c>
      <c r="O3" s="40"/>
      <c r="P3" s="40" t="s">
        <v>10</v>
      </c>
      <c r="Q3" s="40"/>
      <c r="R3" s="40" t="s">
        <v>11</v>
      </c>
      <c r="S3" s="40"/>
      <c r="T3" s="40" t="s">
        <v>12</v>
      </c>
      <c r="U3" s="40"/>
      <c r="V3" s="40" t="s">
        <v>60</v>
      </c>
      <c r="W3" s="40"/>
      <c r="X3" s="40" t="s">
        <v>61</v>
      </c>
      <c r="Y3" s="40"/>
    </row>
    <row r="4" spans="1:25" ht="33.75" customHeight="1" x14ac:dyDescent="0.3">
      <c r="A4" s="40"/>
      <c r="B4" s="40"/>
      <c r="C4" s="3" t="s">
        <v>13</v>
      </c>
      <c r="D4" s="3" t="s">
        <v>14</v>
      </c>
      <c r="E4" s="3" t="s">
        <v>13</v>
      </c>
      <c r="F4" s="3" t="s">
        <v>14</v>
      </c>
      <c r="G4" s="3" t="s">
        <v>13</v>
      </c>
      <c r="H4" s="3" t="s">
        <v>14</v>
      </c>
      <c r="I4" s="3" t="s">
        <v>13</v>
      </c>
      <c r="J4" s="3" t="s">
        <v>14</v>
      </c>
      <c r="K4" s="3" t="s">
        <v>13</v>
      </c>
      <c r="L4" s="3" t="s">
        <v>14</v>
      </c>
      <c r="M4" s="3" t="s">
        <v>13</v>
      </c>
      <c r="N4" s="3" t="s">
        <v>14</v>
      </c>
      <c r="O4" s="3" t="s">
        <v>13</v>
      </c>
      <c r="P4" s="3" t="s">
        <v>14</v>
      </c>
      <c r="Q4" s="3" t="s">
        <v>13</v>
      </c>
      <c r="R4" s="3" t="s">
        <v>14</v>
      </c>
      <c r="S4" s="3" t="s">
        <v>13</v>
      </c>
      <c r="T4" s="3" t="s">
        <v>14</v>
      </c>
      <c r="U4" s="3" t="s">
        <v>13</v>
      </c>
      <c r="V4" s="33" t="s">
        <v>14</v>
      </c>
      <c r="W4" s="33" t="s">
        <v>15</v>
      </c>
      <c r="X4" s="36" t="s">
        <v>14</v>
      </c>
      <c r="Y4" s="36" t="s">
        <v>15</v>
      </c>
    </row>
    <row r="5" spans="1:25" ht="25.5" customHeight="1" x14ac:dyDescent="0.3">
      <c r="A5" s="4"/>
      <c r="B5" s="4" t="s">
        <v>16</v>
      </c>
      <c r="C5" s="5">
        <f t="shared" ref="C5" si="0">C6+C55</f>
        <v>150530657</v>
      </c>
      <c r="D5" s="5">
        <f t="shared" ref="D5" si="1">D6+D55</f>
        <v>154300000</v>
      </c>
      <c r="E5" s="5">
        <f t="shared" ref="E5" si="2">E6+E55</f>
        <v>163560947</v>
      </c>
      <c r="F5" s="5">
        <f t="shared" ref="F5" si="3">F6+F55</f>
        <v>187172000</v>
      </c>
      <c r="G5" s="5">
        <f t="shared" ref="G5" si="4">G6+G55</f>
        <v>193362293</v>
      </c>
      <c r="H5" s="5">
        <f t="shared" ref="H5" si="5">H6+H55</f>
        <v>217970000</v>
      </c>
      <c r="I5" s="5">
        <f t="shared" ref="I5" si="6">I6+I55</f>
        <v>219600605</v>
      </c>
      <c r="J5" s="5">
        <f t="shared" ref="J5:W5" si="7">J6+J55</f>
        <v>245726000.24035177</v>
      </c>
      <c r="K5" s="5">
        <f t="shared" si="7"/>
        <v>249246824</v>
      </c>
      <c r="L5" s="5">
        <f t="shared" si="7"/>
        <v>260400000</v>
      </c>
      <c r="M5" s="5">
        <f t="shared" si="7"/>
        <v>268472252</v>
      </c>
      <c r="N5" s="5">
        <f t="shared" si="7"/>
        <v>216921000</v>
      </c>
      <c r="O5" s="5">
        <f t="shared" si="7"/>
        <v>242306066</v>
      </c>
      <c r="P5" s="5">
        <f t="shared" si="7"/>
        <v>281818000</v>
      </c>
      <c r="Q5" s="5">
        <f t="shared" si="7"/>
        <v>306811967</v>
      </c>
      <c r="R5" s="5">
        <f t="shared" si="7"/>
        <v>325902000</v>
      </c>
      <c r="S5" s="5">
        <f t="shared" si="7"/>
        <v>393093749.20094299</v>
      </c>
      <c r="T5" s="5">
        <f t="shared" si="7"/>
        <v>381530000</v>
      </c>
      <c r="U5" s="5">
        <f t="shared" si="7"/>
        <v>479291530</v>
      </c>
      <c r="V5" s="5">
        <f t="shared" si="7"/>
        <v>478100200</v>
      </c>
      <c r="W5" s="5">
        <f t="shared" si="7"/>
        <v>631655417</v>
      </c>
      <c r="X5" s="5">
        <f t="shared" ref="X5" si="8">X6+X55</f>
        <v>613500000</v>
      </c>
      <c r="Y5" s="5"/>
    </row>
    <row r="6" spans="1:25" ht="23.25" customHeight="1" x14ac:dyDescent="0.3">
      <c r="A6" s="6" t="s">
        <v>17</v>
      </c>
      <c r="B6" s="7" t="s">
        <v>18</v>
      </c>
      <c r="C6" s="8">
        <f t="shared" ref="C6:I6" si="9">SUM(C16,C22,C28,C34,C40,C41,C42,C43,C44,C45,C46,C47,,C48,C49,C50,C51,C52,C53,C54)</f>
        <v>146965728</v>
      </c>
      <c r="D6" s="8">
        <f t="shared" si="9"/>
        <v>152000000</v>
      </c>
      <c r="E6" s="8">
        <f t="shared" si="9"/>
        <v>162024492</v>
      </c>
      <c r="F6" s="8">
        <f t="shared" si="9"/>
        <v>185372000</v>
      </c>
      <c r="G6" s="8">
        <f t="shared" si="9"/>
        <v>191028072</v>
      </c>
      <c r="H6" s="8">
        <f t="shared" si="9"/>
        <v>216100000</v>
      </c>
      <c r="I6" s="8">
        <f t="shared" si="9"/>
        <v>216662774</v>
      </c>
      <c r="J6" s="8">
        <f t="shared" ref="J6:W6" si="10">SUM(J16,J22,J28,J34,J40,J41,J42,J43,J44,J45,J46,J47,,J48,J49,J50,J51,J52,J53,J54)</f>
        <v>243776000.24035177</v>
      </c>
      <c r="K6" s="8">
        <f t="shared" si="10"/>
        <v>245941665</v>
      </c>
      <c r="L6" s="8">
        <f t="shared" si="10"/>
        <v>258300000</v>
      </c>
      <c r="M6" s="8">
        <f t="shared" si="10"/>
        <v>266382798</v>
      </c>
      <c r="N6" s="8">
        <f t="shared" si="10"/>
        <v>215671000</v>
      </c>
      <c r="O6" s="8">
        <f t="shared" si="10"/>
        <v>240332970</v>
      </c>
      <c r="P6" s="8">
        <f t="shared" si="10"/>
        <v>280718000</v>
      </c>
      <c r="Q6" s="8">
        <f t="shared" si="10"/>
        <v>303912025</v>
      </c>
      <c r="R6" s="8">
        <f t="shared" si="10"/>
        <v>323802000</v>
      </c>
      <c r="S6" s="8">
        <f t="shared" si="10"/>
        <v>388564762.20094299</v>
      </c>
      <c r="T6" s="8">
        <f t="shared" si="10"/>
        <v>378530000</v>
      </c>
      <c r="U6" s="8">
        <f t="shared" si="10"/>
        <v>474535059</v>
      </c>
      <c r="V6" s="8">
        <f t="shared" si="10"/>
        <v>473900200</v>
      </c>
      <c r="W6" s="8">
        <f t="shared" si="10"/>
        <v>628922722</v>
      </c>
      <c r="X6" s="8">
        <f t="shared" ref="X6" si="11">SUM(X16,X22,X28,X34,X40,X41,X42,X43,X44,X45,X46,X47,,X48,X49,X50,X51,X52,X53,X54)</f>
        <v>610000000</v>
      </c>
      <c r="Y6" s="8"/>
    </row>
    <row r="7" spans="1:25" ht="29.25" customHeight="1" x14ac:dyDescent="0.3">
      <c r="A7" s="11"/>
      <c r="B7" s="12" t="s">
        <v>19</v>
      </c>
      <c r="C7" s="13">
        <f t="shared" ref="C7" si="12">C6-C46-C52-C53-C54</f>
        <v>133235030</v>
      </c>
      <c r="D7" s="13">
        <f t="shared" ref="D7" si="13">D6-D46-D52-D53-D54</f>
        <v>139000000</v>
      </c>
      <c r="E7" s="13">
        <f t="shared" ref="E7" si="14">E6-E46-E52-E53-E54</f>
        <v>135804473</v>
      </c>
      <c r="F7" s="13">
        <f t="shared" ref="F7" si="15">F6-F46-F52-F53-F54</f>
        <v>165182000</v>
      </c>
      <c r="G7" s="13">
        <f t="shared" ref="G7" si="16">G6-G46-G52-G53-G54</f>
        <v>157066615</v>
      </c>
      <c r="H7" s="13">
        <f t="shared" ref="H7" si="17">H6-H46-H52-H53-H54</f>
        <v>190258000</v>
      </c>
      <c r="I7" s="13">
        <f t="shared" ref="I7" si="18">I6-I46-I52-I53-I54</f>
        <v>172433823</v>
      </c>
      <c r="J7" s="13">
        <f t="shared" ref="J7:W7" si="19">J6-J46-J52-J53-J54</f>
        <v>212988000.24035177</v>
      </c>
      <c r="K7" s="13">
        <f t="shared" si="19"/>
        <v>203105106</v>
      </c>
      <c r="L7" s="13">
        <f t="shared" si="19"/>
        <v>229400000</v>
      </c>
      <c r="M7" s="13">
        <f t="shared" si="19"/>
        <v>203802480</v>
      </c>
      <c r="N7" s="13">
        <f t="shared" si="19"/>
        <v>189611000</v>
      </c>
      <c r="O7" s="13">
        <f t="shared" si="19"/>
        <v>220797118</v>
      </c>
      <c r="P7" s="13">
        <f t="shared" si="19"/>
        <v>207388000</v>
      </c>
      <c r="Q7" s="13">
        <f t="shared" si="19"/>
        <v>224305258</v>
      </c>
      <c r="R7" s="13">
        <f t="shared" si="19"/>
        <v>241870000</v>
      </c>
      <c r="S7" s="13">
        <f t="shared" si="19"/>
        <v>268772139.12841696</v>
      </c>
      <c r="T7" s="13">
        <f t="shared" si="19"/>
        <v>266100000</v>
      </c>
      <c r="U7" s="13">
        <f t="shared" si="19"/>
        <v>324758133</v>
      </c>
      <c r="V7" s="13">
        <f t="shared" si="19"/>
        <v>328000000</v>
      </c>
      <c r="W7" s="13">
        <f t="shared" si="19"/>
        <v>384360351</v>
      </c>
      <c r="X7" s="13">
        <f t="shared" ref="X7" si="20">X6-X46-X52-X53-X54</f>
        <v>426000000</v>
      </c>
      <c r="Y7" s="13"/>
    </row>
    <row r="8" spans="1:25" x14ac:dyDescent="0.3">
      <c r="A8" s="11"/>
      <c r="B8" s="15" t="s">
        <v>20</v>
      </c>
      <c r="C8" s="13">
        <f t="shared" ref="C8:I8" si="21">SUM(C9:C13)</f>
        <v>84818471</v>
      </c>
      <c r="D8" s="13">
        <f t="shared" si="21"/>
        <v>95699500</v>
      </c>
      <c r="E8" s="13">
        <f t="shared" si="21"/>
        <v>88023340</v>
      </c>
      <c r="F8" s="13">
        <f t="shared" si="21"/>
        <v>118488100</v>
      </c>
      <c r="G8" s="13">
        <f t="shared" si="21"/>
        <v>100410991</v>
      </c>
      <c r="H8" s="13">
        <f t="shared" si="21"/>
        <v>128040000</v>
      </c>
      <c r="I8" s="13">
        <f t="shared" si="21"/>
        <v>107608631</v>
      </c>
      <c r="J8" s="13">
        <f t="shared" ref="J8:U8" si="22">SUM(J9:J13)</f>
        <v>138358000.24035177</v>
      </c>
      <c r="K8" s="13">
        <f t="shared" si="22"/>
        <v>125883193</v>
      </c>
      <c r="L8" s="13">
        <f t="shared" si="22"/>
        <v>146775000</v>
      </c>
      <c r="M8" s="13">
        <f t="shared" si="22"/>
        <v>120252322</v>
      </c>
      <c r="N8" s="13">
        <f t="shared" si="22"/>
        <v>120281000</v>
      </c>
      <c r="O8" s="13">
        <f t="shared" si="22"/>
        <v>143248489</v>
      </c>
      <c r="P8" s="13">
        <f t="shared" si="22"/>
        <v>135488000</v>
      </c>
      <c r="Q8" s="13">
        <f t="shared" si="22"/>
        <v>142966724</v>
      </c>
      <c r="R8" s="13">
        <f t="shared" si="22"/>
        <v>156788000</v>
      </c>
      <c r="S8" s="13">
        <f t="shared" si="22"/>
        <v>170616019.767335</v>
      </c>
      <c r="T8" s="13">
        <f t="shared" si="22"/>
        <v>175850000</v>
      </c>
      <c r="U8" s="13">
        <f t="shared" si="22"/>
        <v>195946349</v>
      </c>
      <c r="V8" s="13">
        <f t="shared" ref="V8:W8" si="23">SUM(V9:V13)</f>
        <v>213880000</v>
      </c>
      <c r="W8" s="13">
        <f t="shared" si="23"/>
        <v>240946415</v>
      </c>
      <c r="X8" s="13">
        <f t="shared" ref="X8" si="24">SUM(X9:X13)</f>
        <v>268200000</v>
      </c>
      <c r="Y8" s="13"/>
    </row>
    <row r="9" spans="1:25" s="19" customFormat="1" x14ac:dyDescent="0.3">
      <c r="A9" s="16"/>
      <c r="B9" s="17" t="s">
        <v>21</v>
      </c>
      <c r="C9" s="18">
        <f t="shared" ref="C9:W9" si="25">+C17+C23+C29+C35</f>
        <v>30706700</v>
      </c>
      <c r="D9" s="18">
        <f t="shared" si="25"/>
        <v>35417000</v>
      </c>
      <c r="E9" s="18">
        <f t="shared" si="25"/>
        <v>32115807</v>
      </c>
      <c r="F9" s="18">
        <f t="shared" si="25"/>
        <v>48840100</v>
      </c>
      <c r="G9" s="18">
        <f t="shared" si="25"/>
        <v>38053168</v>
      </c>
      <c r="H9" s="18">
        <f t="shared" si="25"/>
        <v>52777000</v>
      </c>
      <c r="I9" s="18">
        <f t="shared" si="25"/>
        <v>41052942</v>
      </c>
      <c r="J9" s="18">
        <f t="shared" si="25"/>
        <v>51330200</v>
      </c>
      <c r="K9" s="18">
        <f t="shared" si="25"/>
        <v>44039038</v>
      </c>
      <c r="L9" s="18">
        <f t="shared" si="25"/>
        <v>52484000</v>
      </c>
      <c r="M9" s="18">
        <f t="shared" si="25"/>
        <v>44024986</v>
      </c>
      <c r="N9" s="18">
        <f t="shared" si="25"/>
        <v>42722000</v>
      </c>
      <c r="O9" s="18">
        <f t="shared" si="25"/>
        <v>46725991</v>
      </c>
      <c r="P9" s="18">
        <f t="shared" si="25"/>
        <v>48439000</v>
      </c>
      <c r="Q9" s="18">
        <f t="shared" si="25"/>
        <v>52713864</v>
      </c>
      <c r="R9" s="18">
        <f t="shared" si="25"/>
        <v>61765000</v>
      </c>
      <c r="S9" s="18">
        <f t="shared" si="25"/>
        <v>55868764.388204999</v>
      </c>
      <c r="T9" s="18">
        <f t="shared" si="25"/>
        <v>57720000</v>
      </c>
      <c r="U9" s="18">
        <f t="shared" si="25"/>
        <v>67781173</v>
      </c>
      <c r="V9" s="18">
        <f t="shared" si="25"/>
        <v>72390000</v>
      </c>
      <c r="W9" s="18">
        <f t="shared" si="25"/>
        <v>89216288</v>
      </c>
      <c r="X9" s="18">
        <f t="shared" ref="X9" si="26">+X17+X23+X29+X35</f>
        <v>99150000</v>
      </c>
      <c r="Y9" s="18"/>
    </row>
    <row r="10" spans="1:25" s="19" customFormat="1" x14ac:dyDescent="0.3">
      <c r="A10" s="16"/>
      <c r="B10" s="17" t="s">
        <v>22</v>
      </c>
      <c r="C10" s="18">
        <f t="shared" ref="C10:W10" si="27">+C18+C24+C30+C36</f>
        <v>46070484</v>
      </c>
      <c r="D10" s="18">
        <f t="shared" si="27"/>
        <v>50950000</v>
      </c>
      <c r="E10" s="18">
        <f t="shared" si="27"/>
        <v>45678456</v>
      </c>
      <c r="F10" s="18">
        <f t="shared" si="27"/>
        <v>59697000</v>
      </c>
      <c r="G10" s="18">
        <f t="shared" si="27"/>
        <v>51719687</v>
      </c>
      <c r="H10" s="18">
        <f t="shared" si="27"/>
        <v>61546000</v>
      </c>
      <c r="I10" s="18">
        <f t="shared" si="27"/>
        <v>55620916</v>
      </c>
      <c r="J10" s="18">
        <f t="shared" si="27"/>
        <v>74894800</v>
      </c>
      <c r="K10" s="18">
        <f t="shared" si="27"/>
        <v>70961311</v>
      </c>
      <c r="L10" s="18">
        <f t="shared" si="27"/>
        <v>82375000</v>
      </c>
      <c r="M10" s="18">
        <f t="shared" si="27"/>
        <v>68085857</v>
      </c>
      <c r="N10" s="18">
        <f t="shared" si="27"/>
        <v>69514000</v>
      </c>
      <c r="O10" s="18">
        <f t="shared" si="27"/>
        <v>88851688</v>
      </c>
      <c r="P10" s="18">
        <f t="shared" si="27"/>
        <v>78280000</v>
      </c>
      <c r="Q10" s="18">
        <f t="shared" si="27"/>
        <v>78726580</v>
      </c>
      <c r="R10" s="18">
        <f t="shared" si="27"/>
        <v>85443000</v>
      </c>
      <c r="S10" s="18">
        <f t="shared" si="27"/>
        <v>103592707.172673</v>
      </c>
      <c r="T10" s="18">
        <f t="shared" si="27"/>
        <v>107458000</v>
      </c>
      <c r="U10" s="18">
        <f t="shared" si="27"/>
        <v>115978469</v>
      </c>
      <c r="V10" s="18">
        <f t="shared" si="27"/>
        <v>129110000</v>
      </c>
      <c r="W10" s="18">
        <f t="shared" si="27"/>
        <v>140209093</v>
      </c>
      <c r="X10" s="18">
        <f t="shared" ref="X10" si="28">+X18+X24+X30+X36</f>
        <v>156000000</v>
      </c>
      <c r="Y10" s="18"/>
    </row>
    <row r="11" spans="1:25" s="19" customFormat="1" x14ac:dyDescent="0.3">
      <c r="A11" s="16"/>
      <c r="B11" s="17" t="s">
        <v>23</v>
      </c>
      <c r="C11" s="18">
        <f t="shared" ref="C11:W11" si="29">+C19+C25+C31+C37</f>
        <v>6671317</v>
      </c>
      <c r="D11" s="18">
        <f t="shared" si="29"/>
        <v>7075000</v>
      </c>
      <c r="E11" s="18">
        <f t="shared" si="29"/>
        <v>9506131</v>
      </c>
      <c r="F11" s="18">
        <f t="shared" si="29"/>
        <v>9232000</v>
      </c>
      <c r="G11" s="18">
        <f t="shared" si="29"/>
        <v>9555931</v>
      </c>
      <c r="H11" s="18">
        <f t="shared" si="29"/>
        <v>12900000</v>
      </c>
      <c r="I11" s="18">
        <f t="shared" si="29"/>
        <v>9431163</v>
      </c>
      <c r="J11" s="18">
        <f t="shared" si="29"/>
        <v>10990000.240351761</v>
      </c>
      <c r="K11" s="18">
        <f t="shared" si="29"/>
        <v>8733057</v>
      </c>
      <c r="L11" s="18">
        <f t="shared" si="29"/>
        <v>9470000</v>
      </c>
      <c r="M11" s="18">
        <f t="shared" si="29"/>
        <v>7218446</v>
      </c>
      <c r="N11" s="18">
        <f t="shared" si="29"/>
        <v>7060000</v>
      </c>
      <c r="O11" s="18">
        <f t="shared" si="29"/>
        <v>6744478</v>
      </c>
      <c r="P11" s="18">
        <f t="shared" si="29"/>
        <v>7972000</v>
      </c>
      <c r="Q11" s="18">
        <f t="shared" si="29"/>
        <v>9281251</v>
      </c>
      <c r="R11" s="18">
        <f t="shared" si="29"/>
        <v>8600000</v>
      </c>
      <c r="S11" s="18">
        <f t="shared" si="29"/>
        <v>9031076.0783650018</v>
      </c>
      <c r="T11" s="18">
        <f t="shared" si="29"/>
        <v>8772000</v>
      </c>
      <c r="U11" s="18">
        <f t="shared" si="29"/>
        <v>9996891</v>
      </c>
      <c r="V11" s="18">
        <f t="shared" si="29"/>
        <v>10300000</v>
      </c>
      <c r="W11" s="18">
        <f t="shared" si="29"/>
        <v>10037566</v>
      </c>
      <c r="X11" s="18">
        <f t="shared" ref="X11" si="30">+X19+X25+X31+X37</f>
        <v>11000000</v>
      </c>
      <c r="Y11" s="18"/>
    </row>
    <row r="12" spans="1:25" s="19" customFormat="1" x14ac:dyDescent="0.3">
      <c r="A12" s="16"/>
      <c r="B12" s="17" t="s">
        <v>24</v>
      </c>
      <c r="C12" s="18">
        <f t="shared" ref="C12:W12" si="31">+C20+C26+C32+C38</f>
        <v>50522</v>
      </c>
      <c r="D12" s="18">
        <f t="shared" si="31"/>
        <v>57500</v>
      </c>
      <c r="E12" s="18">
        <f t="shared" si="31"/>
        <v>74692</v>
      </c>
      <c r="F12" s="18">
        <f t="shared" si="31"/>
        <v>59000</v>
      </c>
      <c r="G12" s="18">
        <f t="shared" si="31"/>
        <v>111849</v>
      </c>
      <c r="H12" s="18">
        <f t="shared" si="31"/>
        <v>117000</v>
      </c>
      <c r="I12" s="18">
        <f t="shared" si="31"/>
        <v>124285</v>
      </c>
      <c r="J12" s="18">
        <f t="shared" si="31"/>
        <v>143000</v>
      </c>
      <c r="K12" s="18">
        <f t="shared" si="31"/>
        <v>111352</v>
      </c>
      <c r="L12" s="18">
        <f t="shared" si="31"/>
        <v>156000</v>
      </c>
      <c r="M12" s="18">
        <f t="shared" si="31"/>
        <v>106881</v>
      </c>
      <c r="N12" s="18">
        <f t="shared" si="31"/>
        <v>115000</v>
      </c>
      <c r="O12" s="18">
        <f t="shared" si="31"/>
        <v>111034</v>
      </c>
      <c r="P12" s="18">
        <f t="shared" si="31"/>
        <v>97000</v>
      </c>
      <c r="Q12" s="18">
        <f t="shared" si="31"/>
        <v>139024</v>
      </c>
      <c r="R12" s="18">
        <f t="shared" si="31"/>
        <v>110000</v>
      </c>
      <c r="S12" s="18">
        <f t="shared" si="31"/>
        <v>221796.13711600003</v>
      </c>
      <c r="T12" s="18">
        <f t="shared" si="31"/>
        <v>250000</v>
      </c>
      <c r="U12" s="18">
        <f t="shared" si="31"/>
        <v>288887</v>
      </c>
      <c r="V12" s="18">
        <f t="shared" si="31"/>
        <v>280000</v>
      </c>
      <c r="W12" s="18">
        <f t="shared" si="31"/>
        <v>307017</v>
      </c>
      <c r="X12" s="18">
        <f t="shared" ref="X12" si="32">+X20+X26+X32+X38</f>
        <v>350000</v>
      </c>
      <c r="Y12" s="18"/>
    </row>
    <row r="13" spans="1:25" s="19" customFormat="1" x14ac:dyDescent="0.3">
      <c r="A13" s="16"/>
      <c r="B13" s="17" t="s">
        <v>25</v>
      </c>
      <c r="C13" s="18">
        <f t="shared" ref="C13:W13" si="33">+C21+C33</f>
        <v>1319448</v>
      </c>
      <c r="D13" s="18">
        <f t="shared" si="33"/>
        <v>2200000</v>
      </c>
      <c r="E13" s="18">
        <f t="shared" si="33"/>
        <v>648254</v>
      </c>
      <c r="F13" s="18">
        <f t="shared" si="33"/>
        <v>660000</v>
      </c>
      <c r="G13" s="18">
        <f t="shared" si="33"/>
        <v>970356</v>
      </c>
      <c r="H13" s="18">
        <f t="shared" si="33"/>
        <v>700000</v>
      </c>
      <c r="I13" s="18">
        <f t="shared" si="33"/>
        <v>1379325</v>
      </c>
      <c r="J13" s="18">
        <f t="shared" si="33"/>
        <v>1000000</v>
      </c>
      <c r="K13" s="18">
        <f t="shared" si="33"/>
        <v>2038435</v>
      </c>
      <c r="L13" s="18">
        <f t="shared" si="33"/>
        <v>2290000</v>
      </c>
      <c r="M13" s="18">
        <f t="shared" si="33"/>
        <v>816152</v>
      </c>
      <c r="N13" s="18">
        <f t="shared" si="33"/>
        <v>870000</v>
      </c>
      <c r="O13" s="18">
        <f t="shared" si="33"/>
        <v>815298</v>
      </c>
      <c r="P13" s="18">
        <f t="shared" si="33"/>
        <v>700000</v>
      </c>
      <c r="Q13" s="18">
        <f t="shared" si="33"/>
        <v>2106005</v>
      </c>
      <c r="R13" s="18">
        <f t="shared" si="33"/>
        <v>870000</v>
      </c>
      <c r="S13" s="18">
        <f t="shared" si="33"/>
        <v>1901675.990976</v>
      </c>
      <c r="T13" s="18">
        <f t="shared" si="33"/>
        <v>1650000</v>
      </c>
      <c r="U13" s="18">
        <f t="shared" si="33"/>
        <v>1900929</v>
      </c>
      <c r="V13" s="18">
        <f t="shared" si="33"/>
        <v>1800000</v>
      </c>
      <c r="W13" s="18">
        <f t="shared" si="33"/>
        <v>1176451</v>
      </c>
      <c r="X13" s="18">
        <f t="shared" ref="X13" si="34">+X21+X33</f>
        <v>1700000</v>
      </c>
      <c r="Y13" s="18"/>
    </row>
    <row r="14" spans="1:25" x14ac:dyDescent="0.3">
      <c r="A14" s="11"/>
      <c r="B14" s="15" t="s">
        <v>26</v>
      </c>
      <c r="C14" s="13">
        <f t="shared" ref="C14:W14" si="35">+C41+C42+C46+C47+C48</f>
        <v>18058337</v>
      </c>
      <c r="D14" s="13">
        <f t="shared" si="35"/>
        <v>16840000</v>
      </c>
      <c r="E14" s="13">
        <f t="shared" si="35"/>
        <v>31748966</v>
      </c>
      <c r="F14" s="13">
        <f t="shared" si="35"/>
        <v>22720000</v>
      </c>
      <c r="G14" s="13">
        <f t="shared" si="35"/>
        <v>40079038</v>
      </c>
      <c r="H14" s="13">
        <f t="shared" si="35"/>
        <v>30533000</v>
      </c>
      <c r="I14" s="13">
        <f t="shared" si="35"/>
        <v>46964689</v>
      </c>
      <c r="J14" s="13">
        <f t="shared" si="35"/>
        <v>31930000</v>
      </c>
      <c r="K14" s="13">
        <f t="shared" si="35"/>
        <v>29370628</v>
      </c>
      <c r="L14" s="13">
        <f t="shared" si="35"/>
        <v>26930000</v>
      </c>
      <c r="M14" s="13">
        <f t="shared" si="35"/>
        <v>35906863</v>
      </c>
      <c r="N14" s="13">
        <f t="shared" si="35"/>
        <v>26200000</v>
      </c>
      <c r="O14" s="13">
        <f t="shared" si="35"/>
        <v>27754172</v>
      </c>
      <c r="P14" s="13">
        <f t="shared" si="35"/>
        <v>26630000</v>
      </c>
      <c r="Q14" s="13">
        <f t="shared" si="35"/>
        <v>21381397</v>
      </c>
      <c r="R14" s="13">
        <f t="shared" si="35"/>
        <v>23660000</v>
      </c>
      <c r="S14" s="13">
        <f t="shared" si="35"/>
        <v>21212321.390919998</v>
      </c>
      <c r="T14" s="13">
        <f t="shared" si="35"/>
        <v>42610000</v>
      </c>
      <c r="U14" s="13">
        <f t="shared" si="35"/>
        <v>55408834</v>
      </c>
      <c r="V14" s="13">
        <f t="shared" si="35"/>
        <v>49990100</v>
      </c>
      <c r="W14" s="13">
        <f t="shared" si="35"/>
        <v>125440518</v>
      </c>
      <c r="X14" s="13">
        <f t="shared" ref="X14" si="36">+X41+X42+X46+X47+X48</f>
        <v>99575000</v>
      </c>
      <c r="Y14" s="13"/>
    </row>
    <row r="15" spans="1:25" x14ac:dyDescent="0.3">
      <c r="A15" s="11"/>
      <c r="B15" s="15" t="s">
        <v>27</v>
      </c>
      <c r="C15" s="13">
        <f t="shared" ref="C15:U15" si="37">+C6-C8-C14</f>
        <v>44088920</v>
      </c>
      <c r="D15" s="13">
        <f t="shared" si="37"/>
        <v>39460500</v>
      </c>
      <c r="E15" s="13">
        <f t="shared" si="37"/>
        <v>42252186</v>
      </c>
      <c r="F15" s="13">
        <f t="shared" si="37"/>
        <v>44163900</v>
      </c>
      <c r="G15" s="13">
        <f t="shared" si="37"/>
        <v>50538043</v>
      </c>
      <c r="H15" s="13">
        <f t="shared" si="37"/>
        <v>57527000</v>
      </c>
      <c r="I15" s="13">
        <f t="shared" si="37"/>
        <v>62089454</v>
      </c>
      <c r="J15" s="13">
        <f t="shared" si="37"/>
        <v>73488000</v>
      </c>
      <c r="K15" s="13">
        <f t="shared" si="37"/>
        <v>90687844</v>
      </c>
      <c r="L15" s="13">
        <f t="shared" si="37"/>
        <v>84595000</v>
      </c>
      <c r="M15" s="13">
        <f t="shared" si="37"/>
        <v>110223613</v>
      </c>
      <c r="N15" s="13">
        <f t="shared" si="37"/>
        <v>69190000</v>
      </c>
      <c r="O15" s="13">
        <f t="shared" si="37"/>
        <v>69330309</v>
      </c>
      <c r="P15" s="13">
        <f t="shared" si="37"/>
        <v>118600000</v>
      </c>
      <c r="Q15" s="13">
        <f t="shared" si="37"/>
        <v>139563904</v>
      </c>
      <c r="R15" s="13">
        <f t="shared" si="37"/>
        <v>143354000</v>
      </c>
      <c r="S15" s="13">
        <f t="shared" si="37"/>
        <v>196736421.04268801</v>
      </c>
      <c r="T15" s="13">
        <f t="shared" si="37"/>
        <v>160070000</v>
      </c>
      <c r="U15" s="13">
        <f t="shared" si="37"/>
        <v>223179876</v>
      </c>
      <c r="V15" s="13">
        <f t="shared" ref="V15:X15" si="38">+V6-V8-V14</f>
        <v>210030100</v>
      </c>
      <c r="W15" s="13">
        <f>+W6-W8-W14</f>
        <v>262535789</v>
      </c>
      <c r="X15" s="13">
        <f t="shared" si="38"/>
        <v>242225000</v>
      </c>
      <c r="Y15" s="13"/>
    </row>
    <row r="16" spans="1:25" ht="25.5" x14ac:dyDescent="0.3">
      <c r="A16" s="11">
        <v>1</v>
      </c>
      <c r="B16" s="12" t="s">
        <v>28</v>
      </c>
      <c r="C16" s="14">
        <f t="shared" ref="C16:Q16" si="39">SUM(C17,C18,C19,C20,C21)</f>
        <v>45358470</v>
      </c>
      <c r="D16" s="14">
        <f t="shared" si="39"/>
        <v>49905000</v>
      </c>
      <c r="E16" s="14">
        <f t="shared" si="39"/>
        <v>41868534</v>
      </c>
      <c r="F16" s="14">
        <f t="shared" si="39"/>
        <v>57079100</v>
      </c>
      <c r="G16" s="14">
        <f t="shared" si="39"/>
        <v>42751108</v>
      </c>
      <c r="H16" s="14">
        <f t="shared" si="39"/>
        <v>53500000</v>
      </c>
      <c r="I16" s="14">
        <f t="shared" si="39"/>
        <v>42937170</v>
      </c>
      <c r="J16" s="14">
        <f t="shared" si="39"/>
        <v>56658000.240351759</v>
      </c>
      <c r="K16" s="14">
        <f t="shared" si="39"/>
        <v>51243955</v>
      </c>
      <c r="L16" s="14">
        <f t="shared" si="39"/>
        <v>61475000</v>
      </c>
      <c r="M16" s="14">
        <f t="shared" si="39"/>
        <v>49141875</v>
      </c>
      <c r="N16" s="14">
        <f t="shared" si="39"/>
        <v>47718000</v>
      </c>
      <c r="O16" s="14">
        <f t="shared" si="39"/>
        <v>53253463</v>
      </c>
      <c r="P16" s="14">
        <f t="shared" si="39"/>
        <v>55788000</v>
      </c>
      <c r="Q16" s="14">
        <f t="shared" si="39"/>
        <v>53547349</v>
      </c>
      <c r="R16" s="14">
        <v>56881000</v>
      </c>
      <c r="S16" s="14">
        <f>SUM(S17,S18,S19,S20,S21)</f>
        <v>65097666</v>
      </c>
      <c r="T16" s="14">
        <f t="shared" ref="T16" si="40">SUM(T17,T18,T19,T20,T21)</f>
        <v>68455000</v>
      </c>
      <c r="U16" s="14">
        <f>SUM(U17,U18,U19,U20,U21)</f>
        <v>70081446</v>
      </c>
      <c r="V16" s="14">
        <f t="shared" ref="V16:W16" si="41">SUM(V17,V18,V19,V20,V21)</f>
        <v>78920000</v>
      </c>
      <c r="W16" s="14">
        <f t="shared" si="41"/>
        <v>70643040</v>
      </c>
      <c r="X16" s="14">
        <f t="shared" ref="X16" si="42">SUM(X17,X18,X19,X20,X21)</f>
        <v>81091000</v>
      </c>
      <c r="Y16" s="14"/>
    </row>
    <row r="17" spans="1:25" x14ac:dyDescent="0.3">
      <c r="A17" s="20"/>
      <c r="B17" s="21" t="s">
        <v>29</v>
      </c>
      <c r="C17" s="22">
        <v>11348453</v>
      </c>
      <c r="D17" s="22">
        <v>12700000</v>
      </c>
      <c r="E17" s="22">
        <v>10247470</v>
      </c>
      <c r="F17" s="22">
        <v>16156100</v>
      </c>
      <c r="G17" s="22">
        <v>11566273</v>
      </c>
      <c r="H17" s="22">
        <v>15690000</v>
      </c>
      <c r="I17" s="22">
        <v>13820762</v>
      </c>
      <c r="J17" s="22">
        <v>16865000</v>
      </c>
      <c r="K17" s="22">
        <v>14737258</v>
      </c>
      <c r="L17" s="22">
        <v>18295000</v>
      </c>
      <c r="M17" s="22">
        <v>14499173</v>
      </c>
      <c r="N17" s="22">
        <v>13606000</v>
      </c>
      <c r="O17" s="22">
        <v>14506190</v>
      </c>
      <c r="P17" s="22">
        <v>15688000</v>
      </c>
      <c r="Q17" s="22">
        <v>17621223</v>
      </c>
      <c r="R17" s="22">
        <v>20099000</v>
      </c>
      <c r="S17" s="22">
        <v>16487897</v>
      </c>
      <c r="T17" s="22">
        <v>18500000</v>
      </c>
      <c r="U17" s="23">
        <v>16838133</v>
      </c>
      <c r="V17" s="23">
        <v>18400000</v>
      </c>
      <c r="W17" s="23">
        <v>13720105</v>
      </c>
      <c r="X17" s="23">
        <v>18946900</v>
      </c>
      <c r="Y17" s="23"/>
    </row>
    <row r="18" spans="1:25" x14ac:dyDescent="0.3">
      <c r="A18" s="20"/>
      <c r="B18" s="21" t="s">
        <v>30</v>
      </c>
      <c r="C18" s="22">
        <v>29706068</v>
      </c>
      <c r="D18" s="22">
        <v>31600000</v>
      </c>
      <c r="E18" s="22">
        <v>26280665</v>
      </c>
      <c r="F18" s="22">
        <v>36096000</v>
      </c>
      <c r="G18" s="22">
        <v>26339371</v>
      </c>
      <c r="H18" s="22">
        <v>31098000</v>
      </c>
      <c r="I18" s="22">
        <v>23644779</v>
      </c>
      <c r="J18" s="22">
        <v>34180000</v>
      </c>
      <c r="K18" s="22">
        <v>30382027</v>
      </c>
      <c r="L18" s="22">
        <v>36775000</v>
      </c>
      <c r="M18" s="22">
        <v>30110308</v>
      </c>
      <c r="N18" s="22">
        <v>29630000</v>
      </c>
      <c r="O18" s="22">
        <v>34670319</v>
      </c>
      <c r="P18" s="22">
        <v>35500000</v>
      </c>
      <c r="Q18" s="22">
        <v>29205183</v>
      </c>
      <c r="R18" s="22">
        <v>31457000</v>
      </c>
      <c r="S18" s="22">
        <v>41860370</v>
      </c>
      <c r="T18" s="22">
        <v>43300000</v>
      </c>
      <c r="U18" s="24">
        <v>45772417</v>
      </c>
      <c r="V18" s="24">
        <v>52840000</v>
      </c>
      <c r="W18" s="24">
        <v>49659001</v>
      </c>
      <c r="X18" s="24">
        <v>53751100</v>
      </c>
      <c r="Y18" s="24"/>
    </row>
    <row r="19" spans="1:25" x14ac:dyDescent="0.3">
      <c r="A19" s="20"/>
      <c r="B19" s="21" t="s">
        <v>31</v>
      </c>
      <c r="C19" s="22">
        <v>2978071</v>
      </c>
      <c r="D19" s="22">
        <v>3400000</v>
      </c>
      <c r="E19" s="22">
        <v>4681059</v>
      </c>
      <c r="F19" s="22">
        <v>4160000</v>
      </c>
      <c r="G19" s="22">
        <v>3866116</v>
      </c>
      <c r="H19" s="22">
        <v>6000000</v>
      </c>
      <c r="I19" s="22">
        <v>4082149</v>
      </c>
      <c r="J19" s="22">
        <v>4600000.2403517608</v>
      </c>
      <c r="K19" s="22">
        <v>4073427</v>
      </c>
      <c r="L19" s="22">
        <v>4100000</v>
      </c>
      <c r="M19" s="22">
        <v>3703025</v>
      </c>
      <c r="N19" s="22">
        <v>3600000</v>
      </c>
      <c r="O19" s="22">
        <v>3248548</v>
      </c>
      <c r="P19" s="22">
        <v>3900000</v>
      </c>
      <c r="Q19" s="22">
        <v>4572700</v>
      </c>
      <c r="R19" s="22">
        <v>4443000</v>
      </c>
      <c r="S19" s="22">
        <v>5038197</v>
      </c>
      <c r="T19" s="22">
        <v>4837000</v>
      </c>
      <c r="U19" s="23">
        <v>5458181</v>
      </c>
      <c r="V19" s="23">
        <v>5700000</v>
      </c>
      <c r="W19" s="23">
        <v>5906794</v>
      </c>
      <c r="X19" s="23">
        <v>6445000</v>
      </c>
      <c r="Y19" s="23"/>
    </row>
    <row r="20" spans="1:25" x14ac:dyDescent="0.3">
      <c r="A20" s="20"/>
      <c r="B20" s="21" t="s">
        <v>32</v>
      </c>
      <c r="C20" s="22">
        <v>6430</v>
      </c>
      <c r="D20" s="22">
        <v>5000</v>
      </c>
      <c r="E20" s="22">
        <v>11086</v>
      </c>
      <c r="F20" s="22">
        <v>7000</v>
      </c>
      <c r="G20" s="22">
        <v>8992</v>
      </c>
      <c r="H20" s="22">
        <v>12000</v>
      </c>
      <c r="I20" s="22">
        <v>10155</v>
      </c>
      <c r="J20" s="22">
        <v>13000</v>
      </c>
      <c r="K20" s="22">
        <v>12808</v>
      </c>
      <c r="L20" s="22">
        <v>15000</v>
      </c>
      <c r="M20" s="22">
        <v>13217</v>
      </c>
      <c r="N20" s="22">
        <v>12000</v>
      </c>
      <c r="O20" s="22">
        <v>13108</v>
      </c>
      <c r="P20" s="22">
        <v>0</v>
      </c>
      <c r="Q20" s="22">
        <v>42238</v>
      </c>
      <c r="R20" s="22">
        <v>12000</v>
      </c>
      <c r="S20" s="22">
        <v>122975</v>
      </c>
      <c r="T20" s="22">
        <v>168000</v>
      </c>
      <c r="U20" s="23">
        <v>177927</v>
      </c>
      <c r="V20" s="23">
        <v>180000</v>
      </c>
      <c r="W20" s="23">
        <v>205899</v>
      </c>
      <c r="X20" s="23">
        <v>248000</v>
      </c>
      <c r="Y20" s="23"/>
    </row>
    <row r="21" spans="1:25" x14ac:dyDescent="0.3">
      <c r="A21" s="20"/>
      <c r="B21" s="21" t="s">
        <v>33</v>
      </c>
      <c r="C21" s="22">
        <v>1319448</v>
      </c>
      <c r="D21" s="22">
        <v>2200000</v>
      </c>
      <c r="E21" s="22">
        <v>648254</v>
      </c>
      <c r="F21" s="22">
        <v>660000</v>
      </c>
      <c r="G21" s="22">
        <v>970356</v>
      </c>
      <c r="H21" s="22">
        <v>700000</v>
      </c>
      <c r="I21" s="22">
        <v>1379325</v>
      </c>
      <c r="J21" s="22">
        <v>1000000</v>
      </c>
      <c r="K21" s="22">
        <v>2038435</v>
      </c>
      <c r="L21" s="22">
        <v>2290000</v>
      </c>
      <c r="M21" s="22">
        <v>816152</v>
      </c>
      <c r="N21" s="22">
        <v>870000</v>
      </c>
      <c r="O21" s="22">
        <v>815298</v>
      </c>
      <c r="P21" s="22">
        <v>700000</v>
      </c>
      <c r="Q21" s="22">
        <v>2106005</v>
      </c>
      <c r="R21" s="22">
        <v>870000</v>
      </c>
      <c r="S21" s="22">
        <v>1588227</v>
      </c>
      <c r="T21" s="22">
        <v>1650000</v>
      </c>
      <c r="U21" s="23">
        <v>1834788</v>
      </c>
      <c r="V21" s="23">
        <v>1800000</v>
      </c>
      <c r="W21" s="23">
        <v>1151241</v>
      </c>
      <c r="X21" s="23">
        <v>1700000</v>
      </c>
      <c r="Y21" s="23"/>
    </row>
    <row r="22" spans="1:25" ht="25.5" x14ac:dyDescent="0.3">
      <c r="A22" s="25">
        <v>2</v>
      </c>
      <c r="B22" s="26" t="s">
        <v>34</v>
      </c>
      <c r="C22" s="27">
        <f t="shared" ref="C22:Q22" si="43">SUM(C23:C25,C26)</f>
        <v>1773576</v>
      </c>
      <c r="D22" s="27">
        <f t="shared" si="43"/>
        <v>2332000</v>
      </c>
      <c r="E22" s="27">
        <f t="shared" si="43"/>
        <v>1944116</v>
      </c>
      <c r="F22" s="27">
        <f t="shared" si="43"/>
        <v>2632400</v>
      </c>
      <c r="G22" s="27">
        <f t="shared" si="43"/>
        <v>2522782</v>
      </c>
      <c r="H22" s="27">
        <f t="shared" si="43"/>
        <v>2750000</v>
      </c>
      <c r="I22" s="27">
        <f t="shared" si="43"/>
        <v>2450758</v>
      </c>
      <c r="J22" s="27">
        <f t="shared" si="43"/>
        <v>3200000</v>
      </c>
      <c r="K22" s="27">
        <f t="shared" si="43"/>
        <v>2874653</v>
      </c>
      <c r="L22" s="27">
        <f t="shared" si="43"/>
        <v>2900000</v>
      </c>
      <c r="M22" s="27">
        <f t="shared" si="43"/>
        <v>1976015</v>
      </c>
      <c r="N22" s="27">
        <f t="shared" si="43"/>
        <v>2000000</v>
      </c>
      <c r="O22" s="27">
        <f t="shared" si="43"/>
        <v>2023608</v>
      </c>
      <c r="P22" s="27">
        <f t="shared" si="43"/>
        <v>2100000</v>
      </c>
      <c r="Q22" s="27">
        <f t="shared" si="43"/>
        <v>1960030</v>
      </c>
      <c r="R22" s="27">
        <v>2035000</v>
      </c>
      <c r="S22" s="27">
        <f>SUM(S23:S25,S26)</f>
        <v>1771661.285685</v>
      </c>
      <c r="T22" s="27">
        <f t="shared" ref="T22" si="44">SUM(T23:T25,T26)</f>
        <v>2100000</v>
      </c>
      <c r="U22" s="28">
        <f>SUM(U23:U25,U26)</f>
        <v>1880634</v>
      </c>
      <c r="V22" s="28">
        <f t="shared" ref="V22:X22" si="45">SUM(V23:V25,V26)</f>
        <v>1653000</v>
      </c>
      <c r="W22" s="28">
        <f>SUM(W23:W25,W26)</f>
        <v>2277915</v>
      </c>
      <c r="X22" s="28">
        <f t="shared" si="45"/>
        <v>2423000</v>
      </c>
      <c r="Y22" s="28"/>
    </row>
    <row r="23" spans="1:25" x14ac:dyDescent="0.3">
      <c r="A23" s="20"/>
      <c r="B23" s="21" t="s">
        <v>29</v>
      </c>
      <c r="C23" s="22">
        <v>1044033</v>
      </c>
      <c r="D23" s="22">
        <v>1281000</v>
      </c>
      <c r="E23" s="22">
        <v>1020237</v>
      </c>
      <c r="F23" s="22">
        <v>1428400</v>
      </c>
      <c r="G23" s="22">
        <v>1327097</v>
      </c>
      <c r="H23" s="22">
        <v>1390000</v>
      </c>
      <c r="I23" s="22">
        <v>1040971</v>
      </c>
      <c r="J23" s="22">
        <v>1590000</v>
      </c>
      <c r="K23" s="22">
        <v>1147858</v>
      </c>
      <c r="L23" s="22">
        <v>1010000</v>
      </c>
      <c r="M23" s="22">
        <v>988512</v>
      </c>
      <c r="N23" s="22">
        <v>900000</v>
      </c>
      <c r="O23" s="29">
        <v>813801</v>
      </c>
      <c r="P23" s="22">
        <v>965000</v>
      </c>
      <c r="Q23" s="29">
        <v>926850</v>
      </c>
      <c r="R23" s="22">
        <v>875000</v>
      </c>
      <c r="S23" s="29">
        <v>804167.09175899997</v>
      </c>
      <c r="T23" s="23">
        <v>1000000</v>
      </c>
      <c r="U23" s="23">
        <v>808372</v>
      </c>
      <c r="V23" s="23">
        <v>770000</v>
      </c>
      <c r="W23" s="23">
        <v>999829</v>
      </c>
      <c r="X23" s="23">
        <v>1385600</v>
      </c>
      <c r="Y23" s="23"/>
    </row>
    <row r="24" spans="1:25" x14ac:dyDescent="0.3">
      <c r="A24" s="20"/>
      <c r="B24" s="21" t="s">
        <v>30</v>
      </c>
      <c r="C24" s="22">
        <v>645623</v>
      </c>
      <c r="D24" s="22">
        <v>950000</v>
      </c>
      <c r="E24" s="22">
        <v>825576</v>
      </c>
      <c r="F24" s="22">
        <v>900000</v>
      </c>
      <c r="G24" s="22">
        <v>900028</v>
      </c>
      <c r="H24" s="22">
        <v>975000</v>
      </c>
      <c r="I24" s="22">
        <v>1023741</v>
      </c>
      <c r="J24" s="22">
        <v>1150000</v>
      </c>
      <c r="K24" s="22">
        <v>1379589</v>
      </c>
      <c r="L24" s="22">
        <v>1450000</v>
      </c>
      <c r="M24" s="22">
        <v>670236</v>
      </c>
      <c r="N24" s="22">
        <v>800000</v>
      </c>
      <c r="O24" s="29">
        <v>858481</v>
      </c>
      <c r="P24" s="22">
        <v>780000</v>
      </c>
      <c r="Q24" s="29">
        <v>631820</v>
      </c>
      <c r="R24" s="22">
        <v>770000</v>
      </c>
      <c r="S24" s="29">
        <v>629708.30145399994</v>
      </c>
      <c r="T24" s="24">
        <v>800000</v>
      </c>
      <c r="U24" s="24">
        <v>703467</v>
      </c>
      <c r="V24" s="24">
        <v>570000</v>
      </c>
      <c r="W24" s="24">
        <v>922995</v>
      </c>
      <c r="X24" s="24">
        <v>735400</v>
      </c>
      <c r="Y24" s="24"/>
    </row>
    <row r="25" spans="1:25" x14ac:dyDescent="0.3">
      <c r="A25" s="20"/>
      <c r="B25" s="21" t="s">
        <v>35</v>
      </c>
      <c r="C25" s="22">
        <v>45356</v>
      </c>
      <c r="D25" s="22">
        <v>55000</v>
      </c>
      <c r="E25" s="22">
        <v>44137</v>
      </c>
      <c r="F25" s="22">
        <v>260000</v>
      </c>
      <c r="G25" s="22">
        <v>204013</v>
      </c>
      <c r="H25" s="22">
        <v>300000</v>
      </c>
      <c r="I25" s="22">
        <v>287391</v>
      </c>
      <c r="J25" s="22">
        <v>350000</v>
      </c>
      <c r="K25" s="22">
        <v>264799</v>
      </c>
      <c r="L25" s="22">
        <v>320000</v>
      </c>
      <c r="M25" s="22">
        <v>244371</v>
      </c>
      <c r="N25" s="22">
        <v>215000</v>
      </c>
      <c r="O25" s="29">
        <v>279208</v>
      </c>
      <c r="P25" s="22">
        <v>280000</v>
      </c>
      <c r="Q25" s="29">
        <v>327073</v>
      </c>
      <c r="R25" s="22">
        <v>315000</v>
      </c>
      <c r="S25" s="29">
        <v>270403.58432000002</v>
      </c>
      <c r="T25" s="23">
        <v>240000</v>
      </c>
      <c r="U25" s="23">
        <v>303721</v>
      </c>
      <c r="V25" s="23">
        <v>250000</v>
      </c>
      <c r="W25" s="23">
        <v>297149</v>
      </c>
      <c r="X25" s="23">
        <v>238000</v>
      </c>
      <c r="Y25" s="23"/>
    </row>
    <row r="26" spans="1:25" x14ac:dyDescent="0.3">
      <c r="A26" s="20"/>
      <c r="B26" s="21" t="s">
        <v>32</v>
      </c>
      <c r="C26" s="22">
        <v>38564</v>
      </c>
      <c r="D26" s="22">
        <v>46000</v>
      </c>
      <c r="E26" s="22">
        <v>54166</v>
      </c>
      <c r="F26" s="22">
        <v>44000</v>
      </c>
      <c r="G26" s="22">
        <v>91644</v>
      </c>
      <c r="H26" s="22">
        <v>85000</v>
      </c>
      <c r="I26" s="22">
        <v>98655</v>
      </c>
      <c r="J26" s="22">
        <v>110000</v>
      </c>
      <c r="K26" s="22">
        <v>82407</v>
      </c>
      <c r="L26" s="22">
        <v>120000</v>
      </c>
      <c r="M26" s="22">
        <v>72896</v>
      </c>
      <c r="N26" s="22">
        <v>85000</v>
      </c>
      <c r="O26" s="29">
        <v>72118</v>
      </c>
      <c r="P26" s="22">
        <v>75000</v>
      </c>
      <c r="Q26" s="29">
        <v>74287</v>
      </c>
      <c r="R26" s="22">
        <v>75000</v>
      </c>
      <c r="S26" s="29">
        <v>67382.308151999998</v>
      </c>
      <c r="T26" s="23">
        <v>60000</v>
      </c>
      <c r="U26" s="23">
        <v>65074</v>
      </c>
      <c r="V26" s="23">
        <v>63000</v>
      </c>
      <c r="W26" s="23">
        <v>57942</v>
      </c>
      <c r="X26" s="23">
        <v>64000</v>
      </c>
      <c r="Y26" s="23"/>
    </row>
    <row r="27" spans="1:25" x14ac:dyDescent="0.3">
      <c r="A27" s="20"/>
      <c r="B27" s="37" t="s">
        <v>33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9"/>
      <c r="P27" s="22"/>
      <c r="Q27" s="29"/>
      <c r="R27" s="22"/>
      <c r="S27" s="29"/>
      <c r="T27" s="23"/>
      <c r="U27" s="23"/>
      <c r="V27" s="23"/>
      <c r="W27" s="23"/>
      <c r="X27" s="23"/>
      <c r="Y27" s="23"/>
    </row>
    <row r="28" spans="1:25" ht="25.5" x14ac:dyDescent="0.3">
      <c r="A28" s="25">
        <v>3</v>
      </c>
      <c r="B28" s="26" t="s">
        <v>36</v>
      </c>
      <c r="C28" s="27">
        <f t="shared" ref="C28:S28" si="46">SUM(C29,C30,C31,C33,C32)</f>
        <v>16259209</v>
      </c>
      <c r="D28" s="27">
        <f t="shared" si="46"/>
        <v>19498500</v>
      </c>
      <c r="E28" s="27">
        <f t="shared" si="46"/>
        <v>18474875</v>
      </c>
      <c r="F28" s="27">
        <f t="shared" si="46"/>
        <v>23883000</v>
      </c>
      <c r="G28" s="27">
        <f t="shared" si="46"/>
        <v>21478868</v>
      </c>
      <c r="H28" s="27">
        <f t="shared" si="46"/>
        <v>29790000</v>
      </c>
      <c r="I28" s="27">
        <f t="shared" si="46"/>
        <v>22210766</v>
      </c>
      <c r="J28" s="27">
        <f t="shared" si="46"/>
        <v>27000000</v>
      </c>
      <c r="K28" s="27">
        <f t="shared" si="46"/>
        <v>23715247</v>
      </c>
      <c r="L28" s="27">
        <f t="shared" si="46"/>
        <v>25800000</v>
      </c>
      <c r="M28" s="27">
        <f t="shared" si="46"/>
        <v>20143889</v>
      </c>
      <c r="N28" s="27">
        <f t="shared" si="46"/>
        <v>20540000</v>
      </c>
      <c r="O28" s="27">
        <f t="shared" si="46"/>
        <v>24516863</v>
      </c>
      <c r="P28" s="27">
        <f t="shared" si="46"/>
        <v>22900000</v>
      </c>
      <c r="Q28" s="27">
        <f t="shared" si="46"/>
        <v>24062905</v>
      </c>
      <c r="R28" s="27">
        <f t="shared" si="46"/>
        <v>23676000</v>
      </c>
      <c r="S28" s="27">
        <f t="shared" si="46"/>
        <v>28439471.433272999</v>
      </c>
      <c r="T28" s="27">
        <f t="shared" ref="T28" si="47">SUM(T29,T30,T31,T33,T32)</f>
        <v>26700000</v>
      </c>
      <c r="U28" s="28">
        <f>SUM(U29,U30,U31,U33,U32)</f>
        <v>31674405</v>
      </c>
      <c r="V28" s="28">
        <f t="shared" ref="V28:W28" si="48">SUM(V29,V30,V31,V33,V32)</f>
        <v>30385000</v>
      </c>
      <c r="W28" s="28">
        <f t="shared" si="48"/>
        <v>34375860</v>
      </c>
      <c r="X28" s="28">
        <f t="shared" ref="X28" si="49">SUM(X29,X30,X31,X33,X32)</f>
        <v>42217000</v>
      </c>
      <c r="Y28" s="28"/>
    </row>
    <row r="29" spans="1:25" x14ac:dyDescent="0.3">
      <c r="A29" s="20"/>
      <c r="B29" s="21" t="s">
        <v>29</v>
      </c>
      <c r="C29" s="22">
        <v>5544045</v>
      </c>
      <c r="D29" s="22">
        <v>7096000</v>
      </c>
      <c r="E29" s="22">
        <v>5644053</v>
      </c>
      <c r="F29" s="22">
        <v>9178000</v>
      </c>
      <c r="G29" s="22">
        <v>6485186</v>
      </c>
      <c r="H29" s="22">
        <v>9807000</v>
      </c>
      <c r="I29" s="22">
        <v>7042609</v>
      </c>
      <c r="J29" s="22">
        <v>8000000</v>
      </c>
      <c r="K29" s="22">
        <v>6595347</v>
      </c>
      <c r="L29" s="22">
        <v>8270000</v>
      </c>
      <c r="M29" s="22">
        <v>6565078</v>
      </c>
      <c r="N29" s="22">
        <v>6220000</v>
      </c>
      <c r="O29" s="29">
        <v>6628053</v>
      </c>
      <c r="P29" s="22">
        <v>7000000</v>
      </c>
      <c r="Q29" s="29">
        <v>7456570</v>
      </c>
      <c r="R29" s="22">
        <v>8904000</v>
      </c>
      <c r="S29" s="29">
        <v>8630770.303599</v>
      </c>
      <c r="T29" s="24">
        <v>7720000</v>
      </c>
      <c r="U29" s="24">
        <v>10020377</v>
      </c>
      <c r="V29" s="24">
        <v>9427000</v>
      </c>
      <c r="W29" s="24">
        <v>12203672</v>
      </c>
      <c r="X29" s="24">
        <v>14172500</v>
      </c>
      <c r="Y29" s="24"/>
    </row>
    <row r="30" spans="1:25" x14ac:dyDescent="0.3">
      <c r="A30" s="20"/>
      <c r="B30" s="21" t="s">
        <v>30</v>
      </c>
      <c r="C30" s="22">
        <v>7788016</v>
      </c>
      <c r="D30" s="22">
        <v>9400000</v>
      </c>
      <c r="E30" s="22">
        <v>8925467</v>
      </c>
      <c r="F30" s="22">
        <v>10800000</v>
      </c>
      <c r="G30" s="22">
        <v>10529164</v>
      </c>
      <c r="H30" s="22">
        <v>14473000</v>
      </c>
      <c r="I30" s="22">
        <v>11175824</v>
      </c>
      <c r="J30" s="22">
        <v>14200000</v>
      </c>
      <c r="K30" s="22">
        <v>13966234</v>
      </c>
      <c r="L30" s="22">
        <v>13800000</v>
      </c>
      <c r="M30" s="22">
        <v>11284742</v>
      </c>
      <c r="N30" s="22">
        <v>12014000</v>
      </c>
      <c r="O30" s="29">
        <v>15585377</v>
      </c>
      <c r="P30" s="22">
        <v>13200000</v>
      </c>
      <c r="Q30" s="29">
        <v>13412929</v>
      </c>
      <c r="R30" s="22">
        <v>11972000</v>
      </c>
      <c r="S30" s="29">
        <v>17073225.211484</v>
      </c>
      <c r="T30" s="23">
        <v>16558000</v>
      </c>
      <c r="U30" s="23">
        <v>18765692</v>
      </c>
      <c r="V30" s="23">
        <v>18200000</v>
      </c>
      <c r="W30" s="23">
        <v>19693847</v>
      </c>
      <c r="X30" s="23">
        <v>25276500</v>
      </c>
      <c r="Y30" s="24"/>
    </row>
    <row r="31" spans="1:25" x14ac:dyDescent="0.3">
      <c r="A31" s="20"/>
      <c r="B31" s="21" t="s">
        <v>31</v>
      </c>
      <c r="C31" s="22">
        <v>2924782</v>
      </c>
      <c r="D31" s="22">
        <v>3000000</v>
      </c>
      <c r="E31" s="22">
        <v>3903327</v>
      </c>
      <c r="F31" s="22">
        <v>3902000</v>
      </c>
      <c r="G31" s="22">
        <v>4461998</v>
      </c>
      <c r="H31" s="22">
        <v>5500000</v>
      </c>
      <c r="I31" s="22">
        <v>3988210</v>
      </c>
      <c r="J31" s="22">
        <v>4790000</v>
      </c>
      <c r="K31" s="22">
        <v>3149217</v>
      </c>
      <c r="L31" s="22">
        <v>3720000</v>
      </c>
      <c r="M31" s="22">
        <v>2289265</v>
      </c>
      <c r="N31" s="22">
        <v>2300000</v>
      </c>
      <c r="O31" s="29">
        <v>2294410</v>
      </c>
      <c r="P31" s="22">
        <v>2692000</v>
      </c>
      <c r="Q31" s="29">
        <v>3186107</v>
      </c>
      <c r="R31" s="22">
        <v>2792000</v>
      </c>
      <c r="S31" s="29">
        <v>2414716.467315</v>
      </c>
      <c r="T31" s="23">
        <v>2415000</v>
      </c>
      <c r="U31" s="23">
        <v>2814622</v>
      </c>
      <c r="V31" s="23">
        <v>2750000</v>
      </c>
      <c r="W31" s="23">
        <v>2445897</v>
      </c>
      <c r="X31" s="23">
        <v>2760000</v>
      </c>
      <c r="Y31" s="23"/>
    </row>
    <row r="32" spans="1:25" x14ac:dyDescent="0.3">
      <c r="A32" s="20"/>
      <c r="B32" s="21" t="s">
        <v>32</v>
      </c>
      <c r="C32" s="22">
        <v>2366</v>
      </c>
      <c r="D32" s="22">
        <v>2500</v>
      </c>
      <c r="E32" s="22">
        <v>2028</v>
      </c>
      <c r="F32" s="22">
        <v>3000</v>
      </c>
      <c r="G32" s="22">
        <v>2520</v>
      </c>
      <c r="H32" s="22">
        <v>10000</v>
      </c>
      <c r="I32" s="22">
        <v>4123</v>
      </c>
      <c r="J32" s="22">
        <v>10000</v>
      </c>
      <c r="K32" s="22">
        <v>4449</v>
      </c>
      <c r="L32" s="22">
        <v>10000</v>
      </c>
      <c r="M32" s="22">
        <v>4804</v>
      </c>
      <c r="N32" s="22">
        <v>6000</v>
      </c>
      <c r="O32" s="29">
        <v>9023</v>
      </c>
      <c r="P32" s="22">
        <v>8000</v>
      </c>
      <c r="Q32" s="29">
        <v>7299</v>
      </c>
      <c r="R32" s="22">
        <v>8000</v>
      </c>
      <c r="S32" s="29">
        <v>7310.4598990000004</v>
      </c>
      <c r="T32" s="23">
        <v>7000</v>
      </c>
      <c r="U32" s="23">
        <v>7573</v>
      </c>
      <c r="V32" s="23">
        <v>8000</v>
      </c>
      <c r="W32" s="23">
        <v>7234</v>
      </c>
      <c r="X32" s="23">
        <v>8000</v>
      </c>
      <c r="Y32" s="23"/>
    </row>
    <row r="33" spans="1:25" x14ac:dyDescent="0.3">
      <c r="A33" s="20"/>
      <c r="B33" s="21" t="s">
        <v>37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/>
      <c r="O33" s="29"/>
      <c r="P33" s="22">
        <f>Q33</f>
        <v>0</v>
      </c>
      <c r="Q33" s="29"/>
      <c r="R33" s="22">
        <v>0</v>
      </c>
      <c r="S33" s="29">
        <v>313448.99097599997</v>
      </c>
      <c r="T33" s="24">
        <v>0</v>
      </c>
      <c r="U33" s="24">
        <v>66141</v>
      </c>
      <c r="V33" s="24">
        <v>0</v>
      </c>
      <c r="W33" s="24">
        <v>25210</v>
      </c>
      <c r="X33" s="24">
        <v>0</v>
      </c>
      <c r="Y33" s="24"/>
    </row>
    <row r="34" spans="1:25" ht="27" customHeight="1" x14ac:dyDescent="0.3">
      <c r="A34" s="25">
        <v>4</v>
      </c>
      <c r="B34" s="26" t="s">
        <v>38</v>
      </c>
      <c r="C34" s="27">
        <f t="shared" ref="C34:Q34" si="50">SUM(C35:C37,C38)</f>
        <v>21427216</v>
      </c>
      <c r="D34" s="27">
        <f t="shared" si="50"/>
        <v>23964000</v>
      </c>
      <c r="E34" s="27">
        <f t="shared" si="50"/>
        <v>25735815</v>
      </c>
      <c r="F34" s="27">
        <f t="shared" si="50"/>
        <v>34893600</v>
      </c>
      <c r="G34" s="27">
        <f t="shared" si="50"/>
        <v>33658233</v>
      </c>
      <c r="H34" s="27">
        <f t="shared" si="50"/>
        <v>42000000</v>
      </c>
      <c r="I34" s="27">
        <f t="shared" si="50"/>
        <v>40009937</v>
      </c>
      <c r="J34" s="27">
        <f t="shared" si="50"/>
        <v>51500000</v>
      </c>
      <c r="K34" s="27">
        <f t="shared" si="50"/>
        <v>48049338</v>
      </c>
      <c r="L34" s="27">
        <f t="shared" si="50"/>
        <v>56600000</v>
      </c>
      <c r="M34" s="27">
        <f t="shared" si="50"/>
        <v>48990543</v>
      </c>
      <c r="N34" s="27">
        <f t="shared" si="50"/>
        <v>50023000</v>
      </c>
      <c r="O34" s="27">
        <f t="shared" si="50"/>
        <v>63454555</v>
      </c>
      <c r="P34" s="27">
        <f t="shared" si="50"/>
        <v>54700000</v>
      </c>
      <c r="Q34" s="27">
        <f t="shared" si="50"/>
        <v>63396440</v>
      </c>
      <c r="R34" s="27">
        <v>74196000</v>
      </c>
      <c r="S34" s="27">
        <f>SUM(S35:S37,S38)</f>
        <v>75307221.048377007</v>
      </c>
      <c r="T34" s="27">
        <f>SUM(T35:T37,T38)</f>
        <v>78595000</v>
      </c>
      <c r="U34" s="28">
        <f>SUM(U35:U37,U38)</f>
        <v>92309864</v>
      </c>
      <c r="V34" s="28">
        <f>SUM(V35:V37,V38,V39)</f>
        <v>102922000</v>
      </c>
      <c r="W34" s="28">
        <f>SUM(W35:W37,W38,W39)</f>
        <v>133763110</v>
      </c>
      <c r="X34" s="28">
        <f>SUM(X35:X37,X38,X39)</f>
        <v>142469000</v>
      </c>
      <c r="Y34" s="28"/>
    </row>
    <row r="35" spans="1:25" x14ac:dyDescent="0.3">
      <c r="A35" s="20"/>
      <c r="B35" s="21" t="s">
        <v>39</v>
      </c>
      <c r="C35" s="22">
        <v>12770169</v>
      </c>
      <c r="D35" s="22">
        <v>14340000</v>
      </c>
      <c r="E35" s="22">
        <v>15204047</v>
      </c>
      <c r="F35" s="22">
        <v>22077600</v>
      </c>
      <c r="G35" s="22">
        <v>18674612</v>
      </c>
      <c r="H35" s="22">
        <v>25890000</v>
      </c>
      <c r="I35" s="22">
        <v>19148600</v>
      </c>
      <c r="J35" s="22">
        <v>24875200</v>
      </c>
      <c r="K35" s="22">
        <v>21558575</v>
      </c>
      <c r="L35" s="22">
        <v>24909000</v>
      </c>
      <c r="M35" s="22">
        <v>21972223</v>
      </c>
      <c r="N35" s="22">
        <v>21996000</v>
      </c>
      <c r="O35" s="29">
        <v>24777947</v>
      </c>
      <c r="P35" s="22">
        <v>24786000</v>
      </c>
      <c r="Q35" s="29">
        <v>26709221</v>
      </c>
      <c r="R35" s="22">
        <v>31887000</v>
      </c>
      <c r="S35" s="29">
        <v>29945929.992846999</v>
      </c>
      <c r="T35" s="23">
        <v>30500000</v>
      </c>
      <c r="U35" s="23">
        <v>40114291</v>
      </c>
      <c r="V35" s="23">
        <v>43793000</v>
      </c>
      <c r="W35" s="23">
        <v>62292682</v>
      </c>
      <c r="X35" s="23">
        <v>64645000</v>
      </c>
      <c r="Y35" s="23"/>
    </row>
    <row r="36" spans="1:25" x14ac:dyDescent="0.3">
      <c r="A36" s="20"/>
      <c r="B36" s="21" t="s">
        <v>40</v>
      </c>
      <c r="C36" s="22">
        <v>7930777</v>
      </c>
      <c r="D36" s="22">
        <v>9000000</v>
      </c>
      <c r="E36" s="22">
        <v>9646748</v>
      </c>
      <c r="F36" s="22">
        <v>11901000</v>
      </c>
      <c r="G36" s="22">
        <v>13951124</v>
      </c>
      <c r="H36" s="22">
        <v>15000000</v>
      </c>
      <c r="I36" s="22">
        <v>19776572</v>
      </c>
      <c r="J36" s="22">
        <v>25364800</v>
      </c>
      <c r="K36" s="22">
        <v>25233461</v>
      </c>
      <c r="L36" s="22">
        <v>30350000</v>
      </c>
      <c r="M36" s="22">
        <v>26020571</v>
      </c>
      <c r="N36" s="22">
        <v>27070000</v>
      </c>
      <c r="O36" s="29">
        <v>37737511</v>
      </c>
      <c r="P36" s="22">
        <v>28800000</v>
      </c>
      <c r="Q36" s="29">
        <v>35476648</v>
      </c>
      <c r="R36" s="22">
        <v>41244000</v>
      </c>
      <c r="S36" s="29">
        <v>44029403.659735002</v>
      </c>
      <c r="T36" s="23">
        <v>46800000</v>
      </c>
      <c r="U36" s="23">
        <v>50736893</v>
      </c>
      <c r="V36" s="23">
        <v>57500000</v>
      </c>
      <c r="W36" s="23">
        <v>69933250</v>
      </c>
      <c r="X36" s="23">
        <v>76237000</v>
      </c>
      <c r="Y36" s="24"/>
    </row>
    <row r="37" spans="1:25" x14ac:dyDescent="0.3">
      <c r="A37" s="20"/>
      <c r="B37" s="21" t="s">
        <v>31</v>
      </c>
      <c r="C37" s="22">
        <v>723108</v>
      </c>
      <c r="D37" s="22">
        <v>620000</v>
      </c>
      <c r="E37" s="22">
        <v>877608</v>
      </c>
      <c r="F37" s="22">
        <v>910000</v>
      </c>
      <c r="G37" s="22">
        <v>1023804</v>
      </c>
      <c r="H37" s="22">
        <v>1100000</v>
      </c>
      <c r="I37" s="22">
        <v>1073413</v>
      </c>
      <c r="J37" s="22">
        <v>1250000</v>
      </c>
      <c r="K37" s="22">
        <v>1245614</v>
      </c>
      <c r="L37" s="22">
        <v>1330000</v>
      </c>
      <c r="M37" s="22">
        <v>981785</v>
      </c>
      <c r="N37" s="22">
        <v>945000</v>
      </c>
      <c r="O37" s="29">
        <v>922312</v>
      </c>
      <c r="P37" s="22">
        <v>1100000</v>
      </c>
      <c r="Q37" s="29">
        <v>1195371</v>
      </c>
      <c r="R37" s="22">
        <v>1050000</v>
      </c>
      <c r="S37" s="29">
        <v>1307759.02673</v>
      </c>
      <c r="T37" s="23">
        <v>1280000</v>
      </c>
      <c r="U37" s="23">
        <v>1420367</v>
      </c>
      <c r="V37" s="23">
        <v>1600000</v>
      </c>
      <c r="W37" s="23">
        <v>1387726</v>
      </c>
      <c r="X37" s="23">
        <v>1557000</v>
      </c>
      <c r="Y37" s="23"/>
    </row>
    <row r="38" spans="1:25" x14ac:dyDescent="0.3">
      <c r="A38" s="20"/>
      <c r="B38" s="21" t="s">
        <v>32</v>
      </c>
      <c r="C38" s="22">
        <v>3162</v>
      </c>
      <c r="D38" s="22">
        <v>4000</v>
      </c>
      <c r="E38" s="22">
        <v>7412</v>
      </c>
      <c r="F38" s="22">
        <v>5000</v>
      </c>
      <c r="G38" s="22">
        <v>8693</v>
      </c>
      <c r="H38" s="22">
        <v>10000</v>
      </c>
      <c r="I38" s="22">
        <v>11352</v>
      </c>
      <c r="J38" s="22">
        <v>10000</v>
      </c>
      <c r="K38" s="22">
        <v>11688</v>
      </c>
      <c r="L38" s="22">
        <v>11000</v>
      </c>
      <c r="M38" s="22">
        <v>15964</v>
      </c>
      <c r="N38" s="22">
        <v>12000</v>
      </c>
      <c r="O38" s="29">
        <v>16785</v>
      </c>
      <c r="P38" s="22">
        <v>14000</v>
      </c>
      <c r="Q38" s="29">
        <v>15200</v>
      </c>
      <c r="R38" s="22">
        <v>15000</v>
      </c>
      <c r="S38" s="29">
        <v>24128.369064999999</v>
      </c>
      <c r="T38" s="23">
        <v>15000</v>
      </c>
      <c r="U38" s="23">
        <v>38313</v>
      </c>
      <c r="V38" s="23">
        <v>29000</v>
      </c>
      <c r="W38" s="23">
        <v>35942</v>
      </c>
      <c r="X38" s="23">
        <v>30000</v>
      </c>
      <c r="Y38" s="23"/>
    </row>
    <row r="39" spans="1:25" x14ac:dyDescent="0.3">
      <c r="A39" s="20"/>
      <c r="B39" s="37" t="s">
        <v>33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9"/>
      <c r="P39" s="22"/>
      <c r="Q39" s="29"/>
      <c r="R39" s="22"/>
      <c r="S39" s="29"/>
      <c r="T39" s="23"/>
      <c r="U39" s="23"/>
      <c r="V39" s="23">
        <v>0</v>
      </c>
      <c r="W39" s="23">
        <v>113510</v>
      </c>
      <c r="X39" s="23"/>
      <c r="Y39" s="23"/>
    </row>
    <row r="40" spans="1:25" x14ac:dyDescent="0.3">
      <c r="A40" s="25">
        <v>5</v>
      </c>
      <c r="B40" s="26" t="s">
        <v>41</v>
      </c>
      <c r="C40" s="30">
        <v>5449486</v>
      </c>
      <c r="D40" s="30">
        <v>6000000</v>
      </c>
      <c r="E40" s="30">
        <v>6386640</v>
      </c>
      <c r="F40" s="30">
        <v>5031000</v>
      </c>
      <c r="G40" s="30">
        <v>5762210</v>
      </c>
      <c r="H40" s="30">
        <v>7000000</v>
      </c>
      <c r="I40" s="30">
        <v>6067872</v>
      </c>
      <c r="J40" s="30">
        <v>6800000</v>
      </c>
      <c r="K40" s="30">
        <v>7724655</v>
      </c>
      <c r="L40" s="30">
        <v>8600000</v>
      </c>
      <c r="M40" s="30">
        <v>7069745</v>
      </c>
      <c r="N40" s="30">
        <v>7200000</v>
      </c>
      <c r="O40" s="27">
        <v>7801189</v>
      </c>
      <c r="P40" s="30">
        <v>6500000</v>
      </c>
      <c r="Q40" s="27">
        <v>8484841</v>
      </c>
      <c r="R40" s="30">
        <v>8400000</v>
      </c>
      <c r="S40" s="27">
        <v>6716143.9043009998</v>
      </c>
      <c r="T40" s="31">
        <v>6500000</v>
      </c>
      <c r="U40" s="31">
        <v>7905977</v>
      </c>
      <c r="V40" s="31">
        <v>7200000</v>
      </c>
      <c r="W40" s="31">
        <v>8421206</v>
      </c>
      <c r="X40" s="31">
        <v>10200000</v>
      </c>
      <c r="Y40" s="31"/>
    </row>
    <row r="41" spans="1:25" x14ac:dyDescent="0.3">
      <c r="A41" s="25">
        <v>6</v>
      </c>
      <c r="B41" s="26" t="s">
        <v>42</v>
      </c>
      <c r="C41" s="30">
        <v>1014</v>
      </c>
      <c r="D41" s="30">
        <v>0</v>
      </c>
      <c r="E41" s="30">
        <v>1215</v>
      </c>
      <c r="F41" s="30">
        <v>0</v>
      </c>
      <c r="G41" s="30">
        <v>156</v>
      </c>
      <c r="H41" s="30">
        <v>0</v>
      </c>
      <c r="I41" s="30">
        <v>85</v>
      </c>
      <c r="J41" s="30">
        <v>0</v>
      </c>
      <c r="K41" s="30">
        <v>109</v>
      </c>
      <c r="L41" s="30">
        <v>0</v>
      </c>
      <c r="M41" s="30">
        <v>129</v>
      </c>
      <c r="N41" s="30"/>
      <c r="O41" s="27">
        <v>132</v>
      </c>
      <c r="P41" s="30"/>
      <c r="Q41" s="27">
        <v>122</v>
      </c>
      <c r="R41" s="30">
        <v>0</v>
      </c>
      <c r="S41" s="27">
        <v>113.548793</v>
      </c>
      <c r="T41" s="31">
        <v>0</v>
      </c>
      <c r="U41" s="31">
        <v>120</v>
      </c>
      <c r="V41" s="31">
        <v>100</v>
      </c>
      <c r="W41" s="31">
        <v>59</v>
      </c>
      <c r="X41" s="31">
        <v>100</v>
      </c>
      <c r="Y41" s="31"/>
    </row>
    <row r="42" spans="1:25" x14ac:dyDescent="0.3">
      <c r="A42" s="25">
        <v>7</v>
      </c>
      <c r="B42" s="26" t="s">
        <v>43</v>
      </c>
      <c r="C42" s="30">
        <v>369632</v>
      </c>
      <c r="D42" s="30">
        <v>340000</v>
      </c>
      <c r="E42" s="30">
        <v>386103</v>
      </c>
      <c r="F42" s="30">
        <v>310000</v>
      </c>
      <c r="G42" s="30">
        <v>443607</v>
      </c>
      <c r="H42" s="30">
        <v>350000</v>
      </c>
      <c r="I42" s="30">
        <v>495614</v>
      </c>
      <c r="J42" s="30">
        <v>430000</v>
      </c>
      <c r="K42" s="30">
        <v>544002</v>
      </c>
      <c r="L42" s="30">
        <v>530000</v>
      </c>
      <c r="M42" s="30">
        <v>550251</v>
      </c>
      <c r="N42" s="30">
        <v>500000</v>
      </c>
      <c r="O42" s="27">
        <v>550511</v>
      </c>
      <c r="P42" s="30">
        <v>530000</v>
      </c>
      <c r="Q42" s="27">
        <v>677130</v>
      </c>
      <c r="R42" s="30">
        <v>560000</v>
      </c>
      <c r="S42" s="27">
        <v>669693.09219999996</v>
      </c>
      <c r="T42" s="31">
        <v>600000</v>
      </c>
      <c r="U42" s="31">
        <v>723841</v>
      </c>
      <c r="V42" s="31">
        <v>610000</v>
      </c>
      <c r="W42" s="31">
        <v>743823</v>
      </c>
      <c r="X42" s="31">
        <v>700000</v>
      </c>
      <c r="Y42" s="31"/>
    </row>
    <row r="43" spans="1:25" x14ac:dyDescent="0.3">
      <c r="A43" s="25">
        <v>8</v>
      </c>
      <c r="B43" s="26" t="s">
        <v>44</v>
      </c>
      <c r="C43" s="30">
        <v>12623034</v>
      </c>
      <c r="D43" s="30">
        <v>14600000</v>
      </c>
      <c r="E43" s="30">
        <v>14425949</v>
      </c>
      <c r="F43" s="30">
        <v>19200000</v>
      </c>
      <c r="G43" s="30">
        <v>17410552</v>
      </c>
      <c r="H43" s="30">
        <v>23400000</v>
      </c>
      <c r="I43" s="30">
        <v>20880205</v>
      </c>
      <c r="J43" s="30">
        <v>26000000</v>
      </c>
      <c r="K43" s="30">
        <v>24938503</v>
      </c>
      <c r="L43" s="30">
        <v>30500000</v>
      </c>
      <c r="M43" s="30">
        <v>26193433</v>
      </c>
      <c r="N43" s="30">
        <v>24700000</v>
      </c>
      <c r="O43" s="27">
        <v>31642969</v>
      </c>
      <c r="P43" s="30">
        <v>28800000</v>
      </c>
      <c r="Q43" s="27">
        <v>37550355</v>
      </c>
      <c r="R43" s="30">
        <v>38500000</v>
      </c>
      <c r="S43" s="27">
        <v>39592095.994290002</v>
      </c>
      <c r="T43" s="31">
        <v>41000000</v>
      </c>
      <c r="U43" s="31">
        <v>49034156</v>
      </c>
      <c r="V43" s="31">
        <v>50000000</v>
      </c>
      <c r="W43" s="31">
        <v>63853248</v>
      </c>
      <c r="X43" s="31">
        <v>69500000</v>
      </c>
      <c r="Y43" s="31"/>
    </row>
    <row r="44" spans="1:25" x14ac:dyDescent="0.3">
      <c r="A44" s="25">
        <v>9</v>
      </c>
      <c r="B44" s="26" t="s">
        <v>45</v>
      </c>
      <c r="C44" s="30">
        <v>3297211</v>
      </c>
      <c r="D44" s="30">
        <v>5500000</v>
      </c>
      <c r="E44" s="30">
        <v>4953569</v>
      </c>
      <c r="F44" s="30">
        <v>5350000</v>
      </c>
      <c r="G44" s="30">
        <v>5375269</v>
      </c>
      <c r="H44" s="30">
        <v>5950000</v>
      </c>
      <c r="I44" s="30">
        <v>5141895</v>
      </c>
      <c r="J44" s="30">
        <v>8750000</v>
      </c>
      <c r="K44" s="30">
        <v>6511251</v>
      </c>
      <c r="L44" s="30">
        <v>7700000</v>
      </c>
      <c r="M44" s="30">
        <v>6284020</v>
      </c>
      <c r="N44" s="30">
        <v>7000000</v>
      </c>
      <c r="O44" s="27">
        <v>5225774</v>
      </c>
      <c r="P44" s="30">
        <v>5500000</v>
      </c>
      <c r="Q44" s="27">
        <v>3434246</v>
      </c>
      <c r="R44" s="30">
        <v>5850000</v>
      </c>
      <c r="S44" s="27">
        <v>3117007.6838070001</v>
      </c>
      <c r="T44" s="31">
        <v>3400000</v>
      </c>
      <c r="U44" s="31">
        <v>3141837</v>
      </c>
      <c r="V44" s="31">
        <v>6700000</v>
      </c>
      <c r="W44" s="31">
        <v>3284407</v>
      </c>
      <c r="X44" s="31">
        <v>3600000</v>
      </c>
      <c r="Y44" s="31"/>
    </row>
    <row r="45" spans="1:25" x14ac:dyDescent="0.3">
      <c r="A45" s="25">
        <v>10</v>
      </c>
      <c r="B45" s="26" t="s">
        <v>46</v>
      </c>
      <c r="C45" s="30">
        <v>10484228</v>
      </c>
      <c r="D45" s="30">
        <v>6000000</v>
      </c>
      <c r="E45" s="30">
        <v>5950593</v>
      </c>
      <c r="F45" s="30">
        <v>7053000</v>
      </c>
      <c r="G45" s="30">
        <v>14868351</v>
      </c>
      <c r="H45" s="30">
        <v>15500000</v>
      </c>
      <c r="I45" s="30">
        <v>16136253</v>
      </c>
      <c r="J45" s="30">
        <v>18300000</v>
      </c>
      <c r="K45" s="30">
        <v>18072252</v>
      </c>
      <c r="L45" s="30">
        <v>20500000</v>
      </c>
      <c r="M45" s="30">
        <v>15583634</v>
      </c>
      <c r="N45" s="30">
        <v>17084000</v>
      </c>
      <c r="O45" s="27">
        <v>16282381</v>
      </c>
      <c r="P45" s="30">
        <v>17000000</v>
      </c>
      <c r="Q45" s="27">
        <v>18593005</v>
      </c>
      <c r="R45" s="30">
        <v>17500000</v>
      </c>
      <c r="S45" s="27">
        <v>20006394.46359</v>
      </c>
      <c r="T45" s="31">
        <v>19500000</v>
      </c>
      <c r="U45" s="31">
        <v>25448151</v>
      </c>
      <c r="V45" s="31">
        <v>23500000</v>
      </c>
      <c r="W45" s="31">
        <v>26273276</v>
      </c>
      <c r="X45" s="31">
        <v>30000000</v>
      </c>
      <c r="Y45" s="31"/>
    </row>
    <row r="46" spans="1:25" x14ac:dyDescent="0.3">
      <c r="A46" s="25">
        <v>11</v>
      </c>
      <c r="B46" s="26" t="s">
        <v>47</v>
      </c>
      <c r="C46" s="30">
        <v>13730698</v>
      </c>
      <c r="D46" s="30">
        <v>13000000</v>
      </c>
      <c r="E46" s="30">
        <v>26220019</v>
      </c>
      <c r="F46" s="30">
        <v>20000000</v>
      </c>
      <c r="G46" s="30">
        <v>33708617</v>
      </c>
      <c r="H46" s="30">
        <v>25500000</v>
      </c>
      <c r="I46" s="30">
        <v>38457792</v>
      </c>
      <c r="J46" s="30">
        <v>25500000</v>
      </c>
      <c r="K46" s="30">
        <v>21954259</v>
      </c>
      <c r="L46" s="30">
        <v>20000000</v>
      </c>
      <c r="M46" s="30">
        <v>26818347</v>
      </c>
      <c r="N46" s="30">
        <v>20000000</v>
      </c>
      <c r="O46" s="27">
        <v>16525909</v>
      </c>
      <c r="P46" s="30">
        <v>20000000</v>
      </c>
      <c r="Q46" s="27">
        <v>14483397</v>
      </c>
      <c r="R46" s="30">
        <v>17000000</v>
      </c>
      <c r="S46" s="27">
        <v>15008258.128388001</v>
      </c>
      <c r="T46" s="31">
        <v>36100000</v>
      </c>
      <c r="U46" s="31">
        <v>41759706</v>
      </c>
      <c r="V46" s="31">
        <v>42500000</v>
      </c>
      <c r="W46" s="31">
        <v>107632737</v>
      </c>
      <c r="X46" s="31">
        <v>82875000</v>
      </c>
      <c r="Y46" s="31"/>
    </row>
    <row r="47" spans="1:25" x14ac:dyDescent="0.3">
      <c r="A47" s="25">
        <v>12</v>
      </c>
      <c r="B47" s="26" t="s">
        <v>48</v>
      </c>
      <c r="C47" s="30">
        <v>2929719</v>
      </c>
      <c r="D47" s="30">
        <v>3400000</v>
      </c>
      <c r="E47" s="30">
        <v>4576586</v>
      </c>
      <c r="F47" s="30">
        <v>2410000</v>
      </c>
      <c r="G47" s="30">
        <v>4847220</v>
      </c>
      <c r="H47" s="30">
        <v>4383000</v>
      </c>
      <c r="I47" s="30">
        <v>6330509</v>
      </c>
      <c r="J47" s="30">
        <v>5000000</v>
      </c>
      <c r="K47" s="30">
        <v>6047878</v>
      </c>
      <c r="L47" s="30">
        <v>5000000</v>
      </c>
      <c r="M47" s="30">
        <v>7882115</v>
      </c>
      <c r="N47" s="30">
        <v>5200000</v>
      </c>
      <c r="O47" s="27">
        <v>10217959</v>
      </c>
      <c r="P47" s="30">
        <v>5500000</v>
      </c>
      <c r="Q47" s="27">
        <v>5684859</v>
      </c>
      <c r="R47" s="30">
        <v>5600000</v>
      </c>
      <c r="S47" s="27">
        <v>4864187.118764</v>
      </c>
      <c r="T47" s="31">
        <v>5500000</v>
      </c>
      <c r="U47" s="31">
        <v>11962993</v>
      </c>
      <c r="V47" s="31">
        <v>6500000</v>
      </c>
      <c r="W47" s="31">
        <v>16153527</v>
      </c>
      <c r="X47" s="31">
        <v>15000000</v>
      </c>
      <c r="Y47" s="31"/>
    </row>
    <row r="48" spans="1:25" ht="25.5" x14ac:dyDescent="0.3">
      <c r="A48" s="25">
        <v>16</v>
      </c>
      <c r="B48" s="26" t="s">
        <v>49</v>
      </c>
      <c r="C48" s="30">
        <v>1027274</v>
      </c>
      <c r="D48" s="30">
        <v>100000</v>
      </c>
      <c r="E48" s="30">
        <v>565043</v>
      </c>
      <c r="F48" s="30">
        <v>0</v>
      </c>
      <c r="G48" s="30">
        <v>1079438</v>
      </c>
      <c r="H48" s="30">
        <v>300000</v>
      </c>
      <c r="I48" s="30">
        <v>1680689</v>
      </c>
      <c r="J48" s="30">
        <v>1000000</v>
      </c>
      <c r="K48" s="30">
        <v>824380</v>
      </c>
      <c r="L48" s="30">
        <v>1400000</v>
      </c>
      <c r="M48" s="30">
        <v>656021</v>
      </c>
      <c r="N48" s="30">
        <v>500000</v>
      </c>
      <c r="O48" s="27">
        <v>459661</v>
      </c>
      <c r="P48" s="30">
        <v>600000</v>
      </c>
      <c r="Q48" s="27">
        <v>535889</v>
      </c>
      <c r="R48" s="30">
        <v>500000</v>
      </c>
      <c r="S48" s="27">
        <v>670069.50277499994</v>
      </c>
      <c r="T48" s="31">
        <v>410000</v>
      </c>
      <c r="U48" s="31">
        <v>962174</v>
      </c>
      <c r="V48" s="31">
        <v>380000</v>
      </c>
      <c r="W48" s="31">
        <v>910372</v>
      </c>
      <c r="X48" s="31">
        <v>999900</v>
      </c>
      <c r="Y48" s="31"/>
    </row>
    <row r="49" spans="1:25" x14ac:dyDescent="0.3">
      <c r="A49" s="25">
        <v>17</v>
      </c>
      <c r="B49" s="26" t="s">
        <v>50</v>
      </c>
      <c r="C49" s="32">
        <v>12051294</v>
      </c>
      <c r="D49" s="32">
        <v>7190500</v>
      </c>
      <c r="E49" s="32">
        <v>10322305</v>
      </c>
      <c r="F49" s="30">
        <v>7133900</v>
      </c>
      <c r="G49" s="30">
        <v>6640981</v>
      </c>
      <c r="H49" s="30">
        <v>5100000</v>
      </c>
      <c r="I49" s="30">
        <v>7767606</v>
      </c>
      <c r="J49" s="30">
        <v>8200000</v>
      </c>
      <c r="K49" s="30">
        <v>12252538</v>
      </c>
      <c r="L49" s="30">
        <v>8250000</v>
      </c>
      <c r="M49" s="30">
        <v>18988899</v>
      </c>
      <c r="N49" s="30">
        <v>7000000</v>
      </c>
      <c r="O49" s="27">
        <v>5082377</v>
      </c>
      <c r="P49" s="30">
        <v>7320000</v>
      </c>
      <c r="Q49" s="27">
        <v>6128370</v>
      </c>
      <c r="R49" s="30">
        <v>8000000</v>
      </c>
      <c r="S49" s="27">
        <v>22165066.869259</v>
      </c>
      <c r="T49" s="31">
        <v>13100000</v>
      </c>
      <c r="U49" s="31">
        <v>22921223</v>
      </c>
      <c r="V49" s="31">
        <v>14000000</v>
      </c>
      <c r="W49" s="31">
        <v>16788648</v>
      </c>
      <c r="X49" s="31">
        <v>20000000</v>
      </c>
      <c r="Y49" s="31"/>
    </row>
    <row r="50" spans="1:25" ht="27" customHeight="1" x14ac:dyDescent="0.3">
      <c r="A50" s="25">
        <v>18</v>
      </c>
      <c r="B50" s="26" t="s">
        <v>51</v>
      </c>
      <c r="C50" s="30">
        <v>3505</v>
      </c>
      <c r="D50" s="30">
        <v>0</v>
      </c>
      <c r="E50" s="30">
        <v>11357</v>
      </c>
      <c r="F50" s="30">
        <v>6000</v>
      </c>
      <c r="G50" s="30">
        <v>30737</v>
      </c>
      <c r="H50" s="30">
        <v>15000</v>
      </c>
      <c r="I50" s="30">
        <v>8197</v>
      </c>
      <c r="J50" s="30">
        <v>20000</v>
      </c>
      <c r="K50" s="30">
        <v>35282</v>
      </c>
      <c r="L50" s="30">
        <v>25000</v>
      </c>
      <c r="M50" s="30">
        <v>24301</v>
      </c>
      <c r="N50" s="30">
        <v>16000</v>
      </c>
      <c r="O50" s="27">
        <v>47076</v>
      </c>
      <c r="P50" s="30">
        <v>20000</v>
      </c>
      <c r="Q50" s="27">
        <v>26066</v>
      </c>
      <c r="R50" s="30">
        <v>22000</v>
      </c>
      <c r="S50" s="27">
        <v>31520.619486</v>
      </c>
      <c r="T50" s="31">
        <v>22000</v>
      </c>
      <c r="U50" s="31">
        <v>6371563</v>
      </c>
      <c r="V50" s="31">
        <v>5000000</v>
      </c>
      <c r="W50" s="31">
        <v>6160422</v>
      </c>
      <c r="X50" s="31">
        <v>7000000</v>
      </c>
      <c r="Y50" s="31"/>
    </row>
    <row r="51" spans="1:25" ht="25.5" x14ac:dyDescent="0.3">
      <c r="A51" s="25">
        <v>19</v>
      </c>
      <c r="B51" s="26" t="s">
        <v>52</v>
      </c>
      <c r="C51" s="30">
        <v>180162</v>
      </c>
      <c r="D51" s="30">
        <v>170000</v>
      </c>
      <c r="E51" s="30">
        <v>201773</v>
      </c>
      <c r="F51" s="30">
        <v>200000</v>
      </c>
      <c r="G51" s="30">
        <v>197103</v>
      </c>
      <c r="H51" s="30">
        <v>220000</v>
      </c>
      <c r="I51" s="30">
        <v>316267</v>
      </c>
      <c r="J51" s="30">
        <v>130000</v>
      </c>
      <c r="K51" s="30">
        <v>271063</v>
      </c>
      <c r="L51" s="30">
        <v>120000</v>
      </c>
      <c r="M51" s="30">
        <v>317610</v>
      </c>
      <c r="N51" s="30">
        <v>130000</v>
      </c>
      <c r="O51" s="27">
        <v>238600</v>
      </c>
      <c r="P51" s="30">
        <v>130000</v>
      </c>
      <c r="Q51" s="27">
        <v>223651</v>
      </c>
      <c r="R51" s="30">
        <v>150000</v>
      </c>
      <c r="S51" s="27">
        <v>323826.56381700002</v>
      </c>
      <c r="T51" s="31">
        <v>218000</v>
      </c>
      <c r="U51" s="31">
        <v>339749</v>
      </c>
      <c r="V51" s="31">
        <v>229900</v>
      </c>
      <c r="W51" s="31">
        <v>711438</v>
      </c>
      <c r="X51" s="31">
        <v>800000</v>
      </c>
      <c r="Y51" s="31"/>
    </row>
    <row r="52" spans="1:25" ht="25.5" x14ac:dyDescent="0.3">
      <c r="A52" s="25">
        <v>21</v>
      </c>
      <c r="B52" s="26" t="s">
        <v>53</v>
      </c>
      <c r="C52" s="30">
        <v>0</v>
      </c>
      <c r="D52" s="30">
        <v>0</v>
      </c>
      <c r="E52" s="30">
        <v>0</v>
      </c>
      <c r="F52" s="30">
        <v>190000</v>
      </c>
      <c r="G52" s="30">
        <v>252840</v>
      </c>
      <c r="H52" s="30">
        <v>342000</v>
      </c>
      <c r="I52" s="30">
        <v>294422</v>
      </c>
      <c r="J52" s="30">
        <v>376000</v>
      </c>
      <c r="K52" s="30">
        <v>277398</v>
      </c>
      <c r="L52" s="30">
        <v>300000</v>
      </c>
      <c r="M52" s="30">
        <v>333330</v>
      </c>
      <c r="N52" s="30">
        <v>360000</v>
      </c>
      <c r="O52" s="27">
        <v>302898</v>
      </c>
      <c r="P52" s="30">
        <v>430000</v>
      </c>
      <c r="Q52" s="27">
        <v>291647</v>
      </c>
      <c r="R52" s="30">
        <v>320000</v>
      </c>
      <c r="S52" s="27">
        <v>330209.21739100001</v>
      </c>
      <c r="T52" s="31">
        <v>330000</v>
      </c>
      <c r="U52" s="31">
        <v>354706</v>
      </c>
      <c r="V52" s="31">
        <v>360000</v>
      </c>
      <c r="W52" s="31">
        <v>443696</v>
      </c>
      <c r="X52" s="31">
        <v>425000</v>
      </c>
      <c r="Y52" s="31"/>
    </row>
    <row r="53" spans="1:25" ht="25.5" x14ac:dyDescent="0.3">
      <c r="A53" s="25">
        <v>22</v>
      </c>
      <c r="B53" s="26" t="s">
        <v>54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625737</v>
      </c>
      <c r="J53" s="30">
        <v>412000</v>
      </c>
      <c r="K53" s="30">
        <v>1020386</v>
      </c>
      <c r="L53" s="30">
        <v>800000</v>
      </c>
      <c r="M53" s="30">
        <v>22941036</v>
      </c>
      <c r="N53" s="30">
        <v>700000</v>
      </c>
      <c r="O53" s="27">
        <v>735852</v>
      </c>
      <c r="P53" s="30">
        <v>49900000</v>
      </c>
      <c r="Q53" s="27">
        <v>56288975</v>
      </c>
      <c r="R53" s="30">
        <v>60512000</v>
      </c>
      <c r="S53" s="27">
        <v>65211935.966174997</v>
      </c>
      <c r="T53" s="31">
        <v>57800000</v>
      </c>
      <c r="U53" s="31">
        <v>54921857</v>
      </c>
      <c r="V53" s="31">
        <v>67040200</v>
      </c>
      <c r="W53" s="31">
        <v>70946846</v>
      </c>
      <c r="X53" s="31">
        <v>52700000</v>
      </c>
      <c r="Y53" s="31"/>
    </row>
    <row r="54" spans="1:25" x14ac:dyDescent="0.3">
      <c r="A54" s="25">
        <v>23</v>
      </c>
      <c r="B54" s="26" t="s">
        <v>55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4851000</v>
      </c>
      <c r="J54" s="30">
        <v>4500000</v>
      </c>
      <c r="K54" s="30">
        <v>19584516</v>
      </c>
      <c r="L54" s="30">
        <v>7800000</v>
      </c>
      <c r="M54" s="30">
        <v>12487605</v>
      </c>
      <c r="N54" s="30">
        <v>5000000</v>
      </c>
      <c r="O54" s="27">
        <v>1971193</v>
      </c>
      <c r="P54" s="30">
        <v>3000000</v>
      </c>
      <c r="Q54" s="27">
        <v>8542748</v>
      </c>
      <c r="R54" s="30">
        <v>4100000</v>
      </c>
      <c r="S54" s="27">
        <v>39242219.760572001</v>
      </c>
      <c r="T54" s="31">
        <v>18200000</v>
      </c>
      <c r="U54" s="31">
        <v>52740657</v>
      </c>
      <c r="V54" s="31">
        <v>36000000</v>
      </c>
      <c r="W54" s="31">
        <v>65539092</v>
      </c>
      <c r="X54" s="31">
        <v>48000000</v>
      </c>
      <c r="Y54" s="31"/>
    </row>
    <row r="55" spans="1:25" ht="22.5" customHeight="1" x14ac:dyDescent="0.3">
      <c r="A55" s="6" t="s">
        <v>56</v>
      </c>
      <c r="B55" s="7" t="s">
        <v>57</v>
      </c>
      <c r="C55" s="8">
        <v>3564929</v>
      </c>
      <c r="D55" s="8">
        <v>2300000</v>
      </c>
      <c r="E55" s="8">
        <v>1536455</v>
      </c>
      <c r="F55" s="8">
        <v>1800000</v>
      </c>
      <c r="G55" s="8">
        <v>2334221</v>
      </c>
      <c r="H55" s="8">
        <v>1870000</v>
      </c>
      <c r="I55" s="8">
        <v>2937831</v>
      </c>
      <c r="J55" s="8">
        <v>1950000</v>
      </c>
      <c r="K55" s="8">
        <v>3305159</v>
      </c>
      <c r="L55" s="8">
        <v>2100000</v>
      </c>
      <c r="M55" s="8">
        <v>2089454</v>
      </c>
      <c r="N55" s="8">
        <v>1250000</v>
      </c>
      <c r="O55" s="9">
        <v>1973096</v>
      </c>
      <c r="P55" s="8">
        <v>1100000</v>
      </c>
      <c r="Q55" s="9">
        <v>2899942</v>
      </c>
      <c r="R55" s="8">
        <v>2100000</v>
      </c>
      <c r="S55" s="9">
        <v>4528987</v>
      </c>
      <c r="T55" s="10">
        <v>3000000</v>
      </c>
      <c r="U55" s="10">
        <v>4756471</v>
      </c>
      <c r="V55" s="10">
        <v>4200000</v>
      </c>
      <c r="W55" s="10">
        <v>2732695</v>
      </c>
      <c r="X55" s="10">
        <v>3500000</v>
      </c>
      <c r="Y55" s="10"/>
    </row>
    <row r="56" spans="1:25" ht="24.75" customHeight="1" x14ac:dyDescent="0.3">
      <c r="A56" s="41" t="s">
        <v>58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39"/>
      <c r="Y56" s="39"/>
    </row>
  </sheetData>
  <mergeCells count="16">
    <mergeCell ref="X3:Y3"/>
    <mergeCell ref="A56:W56"/>
    <mergeCell ref="A1:U1"/>
    <mergeCell ref="V3:W3"/>
    <mergeCell ref="N3:O3"/>
    <mergeCell ref="P3:Q3"/>
    <mergeCell ref="R3:S3"/>
    <mergeCell ref="T3:U3"/>
    <mergeCell ref="A2:W2"/>
    <mergeCell ref="A3:A4"/>
    <mergeCell ref="B3:B4"/>
    <mergeCell ref="D3:E3"/>
    <mergeCell ref="F3:G3"/>
    <mergeCell ref="H3:I3"/>
    <mergeCell ref="J3:K3"/>
    <mergeCell ref="L3:M3"/>
  </mergeCells>
  <printOptions horizontalCentered="1"/>
  <pageMargins left="0.25" right="0.25" top="0.25" bottom="0.25" header="0.25" footer="0.25"/>
  <pageSetup paperSize="9" scale="42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 thu 2016-2025</vt:lpstr>
      <vt:lpstr>'So thu 2016-2025'!Print_Area</vt:lpstr>
    </vt:vector>
  </TitlesOfParts>
  <Company>Thue Viet 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cuc Thue</dc:creator>
  <cp:lastModifiedBy>Manh Linh Nguyen</cp:lastModifiedBy>
  <cp:lastPrinted>2025-03-04T06:29:23Z</cp:lastPrinted>
  <dcterms:created xsi:type="dcterms:W3CDTF">2025-03-04T06:27:08Z</dcterms:created>
  <dcterms:modified xsi:type="dcterms:W3CDTF">2026-09-15T08:22:42Z</dcterms:modified>
</cp:coreProperties>
</file>